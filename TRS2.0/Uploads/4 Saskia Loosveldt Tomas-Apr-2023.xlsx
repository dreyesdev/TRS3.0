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E5A0A04B-3953-4A84-BE37-5A68B0D71B0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" i="1" l="1"/>
  <c r="AG32" i="1"/>
  <c r="AG31" i="1"/>
  <c r="AG30" i="1"/>
  <c r="AG29" i="1"/>
  <c r="AG28" i="1"/>
  <c r="AG27" i="1"/>
  <c r="AD25" i="1"/>
  <c r="AC25" i="1"/>
  <c r="AC26" i="1" s="1"/>
  <c r="AC33" i="1" s="1"/>
  <c r="AB25" i="1"/>
  <c r="AA25" i="1"/>
  <c r="Z25" i="1"/>
  <c r="V25" i="1"/>
  <c r="V26" i="1" s="1"/>
  <c r="V33" i="1" s="1"/>
  <c r="U25" i="1"/>
  <c r="T25" i="1"/>
  <c r="S25" i="1"/>
  <c r="M25" i="1"/>
  <c r="M26" i="1" s="1"/>
  <c r="M33" i="1" s="1"/>
  <c r="H25" i="1"/>
  <c r="G25" i="1"/>
  <c r="F25" i="1"/>
  <c r="E25" i="1"/>
  <c r="E26" i="1" s="1"/>
  <c r="AG23" i="1"/>
  <c r="E33" i="1" l="1"/>
  <c r="F26" i="1"/>
  <c r="S26" i="1"/>
  <c r="S33" i="1" s="1"/>
  <c r="Z26" i="1"/>
  <c r="Z33" i="1" s="1"/>
  <c r="AD26" i="1"/>
  <c r="AD33" i="1" s="1"/>
  <c r="AG25" i="1"/>
  <c r="G26" i="1"/>
  <c r="G33" i="1" s="1"/>
  <c r="T26" i="1"/>
  <c r="T33" i="1" s="1"/>
  <c r="AA26" i="1"/>
  <c r="AA33" i="1" s="1"/>
  <c r="H26" i="1"/>
  <c r="H33" i="1" s="1"/>
  <c r="U26" i="1"/>
  <c r="U33" i="1" s="1"/>
  <c r="AB26" i="1"/>
  <c r="AB33" i="1" s="1"/>
  <c r="AG26" i="1" l="1"/>
  <c r="AG33" i="1" s="1"/>
  <c r="P16" i="1"/>
  <c r="X16" i="1" s="1"/>
  <c r="F33" i="1"/>
  <c r="H16" i="1" l="1"/>
  <c r="AG34" i="1"/>
  <c r="AH23" i="1" l="1"/>
  <c r="AH24" i="1"/>
  <c r="AH25" i="1"/>
</calcChain>
</file>

<file path=xl/sharedStrings.xml><?xml version="1.0" encoding="utf-8"?>
<sst xmlns="http://schemas.openxmlformats.org/spreadsheetml/2006/main" count="80" uniqueCount="54">
  <si>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</si>
  <si>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</si>
  <si>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</si>
  <si>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</si>
  <si>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</si>
  <si>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</si>
  <si>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</si>
  <si>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</si>
  <si>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</si>
  <si>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</si>
  <si>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</si>
  <si>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</si>
  <si>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</si>
  <si>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</si>
  <si>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</si>
  <si>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</si>
  <si>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</si>
  <si>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</si>
  <si>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</si>
  <si>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</si>
  <si>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</si>
  <si>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</si>
  <si>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</si>
  <si>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</si>
  <si>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</si>
  <si>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</si>
  <si>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</si>
  <si>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</si>
  <si>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</si>
  <si>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</si>
  <si>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</si>
  <si>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</si>
  <si>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</si>
  <si>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</si>
  <si>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</si>
  <si>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</si>
  <si>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</si>
  <si>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</si>
  <si>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</si>
  <si>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</si>
  <si>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WP02 Data pipelines &amp; repositories</t>
  </si>
  <si>
    <t>Dedicacion: 50% Estimated:52.5 h</t>
  </si>
  <si>
    <t>PE114000 EERIE - WP11 MP3 - Development of efficient and portable workflows and diagnostics for ER-ESMs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</si>
  <si>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</si>
  <si>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</si>
  <si>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</si>
  <si>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</si>
  <si>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</si>
  <si>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</si>
  <si>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</si>
  <si>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</si>
  <si>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</si>
  <si>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2023-05-08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</si>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</sst>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70" zoomScaleNormal="70" workbookViewId="0">
      <selection activeCell="AB39" sqref="AB39:AE39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1">
        <f>AG33</f>
        <v>105</v>
      </c>
      <c r="I16" s="41"/>
      <c r="K16" s="43" t="s">
        <v>18</v>
      </c>
      <c r="L16" s="44"/>
      <c r="M16" s="44"/>
      <c r="N16" s="44"/>
      <c r="O16" s="44"/>
      <c r="P16" s="41">
        <f>AG25</f>
        <v>105</v>
      </c>
      <c r="Q16" s="41"/>
      <c r="S16" s="43" t="s">
        <v>19</v>
      </c>
      <c r="T16" s="44"/>
      <c r="U16" s="44"/>
      <c r="V16" s="44"/>
      <c r="W16" s="44"/>
      <c r="X16" s="41">
        <f>(P16/7.5) *1</f>
        <v>14</v>
      </c>
      <c r="Y16" s="41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11" t="s">
        <v>28</v>
      </c>
      <c r="O19" s="11" t="s">
        <v>30</v>
      </c>
      <c r="P19" s="11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11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9" t="s">
        <v>36</v>
      </c>
      <c r="AH19" s="20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11">
        <v>12</v>
      </c>
      <c r="O20" s="11">
        <v>13</v>
      </c>
      <c r="P20" s="11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11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9"/>
      <c r="AH20" s="22"/>
    </row>
    <row r="21" spans="1:34" ht="19.5" x14ac:dyDescent="0.3">
      <c r="A21" s="37" t="s">
        <v>38</v>
      </c>
      <c r="B21" s="37"/>
      <c r="C21" s="39"/>
      <c r="D21" s="39"/>
      <c r="E21" s="35"/>
      <c r="F21" s="35"/>
      <c r="G21" s="35"/>
      <c r="H21" s="35"/>
      <c r="I21" s="42"/>
      <c r="J21" s="39"/>
      <c r="K21" s="39"/>
      <c r="L21" s="42"/>
      <c r="M21" s="35"/>
      <c r="N21" s="40"/>
      <c r="O21" s="40"/>
      <c r="P21" s="40"/>
      <c r="Q21" s="39"/>
      <c r="R21" s="39"/>
      <c r="S21" s="35"/>
      <c r="T21" s="35"/>
      <c r="U21" s="35"/>
      <c r="V21" s="35"/>
      <c r="W21" s="40"/>
      <c r="X21" s="39"/>
      <c r="Y21" s="39"/>
      <c r="Z21" s="35"/>
      <c r="AA21" s="35"/>
      <c r="AB21" s="35"/>
      <c r="AC21" s="35"/>
      <c r="AD21" s="35"/>
      <c r="AE21" s="39"/>
      <c r="AF21" s="39"/>
      <c r="AG21" s="35"/>
      <c r="AH21" s="36"/>
    </row>
    <row r="22" spans="1:34" ht="19.5" x14ac:dyDescent="0.3">
      <c r="A22" s="38" t="s">
        <v>39</v>
      </c>
      <c r="B22" s="38"/>
      <c r="C22" s="39"/>
      <c r="D22" s="39"/>
      <c r="E22" s="35"/>
      <c r="F22" s="35"/>
      <c r="G22" s="35"/>
      <c r="H22" s="35"/>
      <c r="I22" s="42"/>
      <c r="J22" s="39"/>
      <c r="K22" s="39"/>
      <c r="L22" s="42"/>
      <c r="M22" s="35"/>
      <c r="N22" s="40"/>
      <c r="O22" s="40"/>
      <c r="P22" s="40"/>
      <c r="Q22" s="39"/>
      <c r="R22" s="39"/>
      <c r="S22" s="35"/>
      <c r="T22" s="35"/>
      <c r="U22" s="35"/>
      <c r="V22" s="35"/>
      <c r="W22" s="40"/>
      <c r="X22" s="39"/>
      <c r="Y22" s="39"/>
      <c r="Z22" s="35"/>
      <c r="AA22" s="35"/>
      <c r="AB22" s="35"/>
      <c r="AC22" s="35"/>
      <c r="AD22" s="35"/>
      <c r="AE22" s="39"/>
      <c r="AF22" s="39"/>
      <c r="AG22" s="35"/>
      <c r="AH22" s="36"/>
    </row>
    <row r="23" spans="1:34" ht="19.5" x14ac:dyDescent="0.3">
      <c r="A23" s="15" t="s">
        <v>40</v>
      </c>
      <c r="B23" s="15" t="s">
        <v>41</v>
      </c>
      <c r="C23" s="6"/>
      <c r="D23" s="6"/>
      <c r="E23" s="3">
        <v>4.5</v>
      </c>
      <c r="F23" s="3">
        <v>4</v>
      </c>
      <c r="G23" s="3">
        <v>3</v>
      </c>
      <c r="H23" s="3">
        <v>4.5</v>
      </c>
      <c r="I23" s="9"/>
      <c r="J23" s="6"/>
      <c r="K23" s="6"/>
      <c r="L23" s="9"/>
      <c r="M23" s="3">
        <v>3.5</v>
      </c>
      <c r="N23" s="12"/>
      <c r="O23" s="12"/>
      <c r="P23" s="12"/>
      <c r="Q23" s="6"/>
      <c r="R23" s="6"/>
      <c r="S23" s="3">
        <v>3.5</v>
      </c>
      <c r="T23" s="3">
        <v>2.5</v>
      </c>
      <c r="U23" s="3">
        <v>4.5</v>
      </c>
      <c r="V23" s="3">
        <v>4.5</v>
      </c>
      <c r="W23" s="12"/>
      <c r="X23" s="6"/>
      <c r="Y23" s="6"/>
      <c r="Z23" s="3">
        <v>2.5</v>
      </c>
      <c r="AA23" s="3">
        <v>4</v>
      </c>
      <c r="AB23" s="3">
        <v>3</v>
      </c>
      <c r="AC23" s="3">
        <v>4</v>
      </c>
      <c r="AD23" s="3">
        <v>4.5</v>
      </c>
      <c r="AE23" s="6"/>
      <c r="AF23" s="6"/>
      <c r="AG23" s="3">
        <f>SUM(C23:AF23)</f>
        <v>52.5</v>
      </c>
      <c r="AH23" s="16">
        <f>AG23/$AG$34</f>
        <v>0.5</v>
      </c>
    </row>
    <row r="24" spans="1:34" ht="19.5" x14ac:dyDescent="0.3">
      <c r="A24" s="15" t="s">
        <v>42</v>
      </c>
      <c r="B24" s="15" t="s">
        <v>41</v>
      </c>
      <c r="C24" s="6"/>
      <c r="D24" s="6"/>
      <c r="E24" s="3">
        <v>3</v>
      </c>
      <c r="F24" s="3">
        <v>3.5</v>
      </c>
      <c r="G24" s="3">
        <v>4.5</v>
      </c>
      <c r="H24" s="3">
        <v>3</v>
      </c>
      <c r="I24" s="9"/>
      <c r="J24" s="6"/>
      <c r="K24" s="6"/>
      <c r="L24" s="9"/>
      <c r="M24" s="3">
        <v>4</v>
      </c>
      <c r="N24" s="12"/>
      <c r="O24" s="12"/>
      <c r="P24" s="12"/>
      <c r="Q24" s="6"/>
      <c r="R24" s="6"/>
      <c r="S24" s="3">
        <v>4</v>
      </c>
      <c r="T24" s="3">
        <v>5</v>
      </c>
      <c r="U24" s="3">
        <v>3</v>
      </c>
      <c r="V24" s="3">
        <v>3</v>
      </c>
      <c r="W24" s="12"/>
      <c r="X24" s="6"/>
      <c r="Y24" s="6"/>
      <c r="Z24" s="3">
        <v>5</v>
      </c>
      <c r="AA24" s="3">
        <v>3.5</v>
      </c>
      <c r="AB24" s="3">
        <v>4.5</v>
      </c>
      <c r="AC24" s="3">
        <v>3.5</v>
      </c>
      <c r="AD24" s="3">
        <v>3</v>
      </c>
      <c r="AE24" s="6"/>
      <c r="AF24" s="6"/>
      <c r="AG24" s="3">
        <f>SUM(C24:AF24)</f>
        <v>52.5</v>
      </c>
      <c r="AH24" s="16">
        <f>AG24/$AG$34</f>
        <v>0.5</v>
      </c>
    </row>
    <row r="25" spans="1:34" ht="19.5" x14ac:dyDescent="0.3">
      <c r="A25" s="33" t="s">
        <v>43</v>
      </c>
      <c r="B25" s="34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10"/>
      <c r="J25" s="7"/>
      <c r="K25" s="7"/>
      <c r="L25" s="10"/>
      <c r="M25" s="4">
        <f>SUM(M23:M24)</f>
        <v>7.5</v>
      </c>
      <c r="N25" s="13"/>
      <c r="O25" s="13"/>
      <c r="P25" s="13"/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13"/>
      <c r="X25" s="7"/>
      <c r="Y25" s="7"/>
      <c r="Z25" s="4">
        <f>SUM(Z23:Z24)</f>
        <v>7.5</v>
      </c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105</v>
      </c>
      <c r="AH25" s="14">
        <f>AG25/$AG$34</f>
        <v>1</v>
      </c>
    </row>
    <row r="26" spans="1:34" ht="19.5" x14ac:dyDescent="0.3">
      <c r="A26" s="18" t="s">
        <v>44</v>
      </c>
      <c r="B26" s="18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9"/>
      <c r="J26" s="6"/>
      <c r="K26" s="6"/>
      <c r="L26" s="9"/>
      <c r="M26" s="3">
        <f>7.5-M25</f>
        <v>0</v>
      </c>
      <c r="N26" s="12"/>
      <c r="O26" s="12"/>
      <c r="P26" s="12"/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12"/>
      <c r="X26" s="6"/>
      <c r="Y26" s="6"/>
      <c r="Z26" s="3">
        <f>7.5-Z25</f>
        <v>0</v>
      </c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 t="shared" ref="AG26:AG32" si="0">SUM(C26:AF26)</f>
        <v>0</v>
      </c>
    </row>
    <row r="27" spans="1:34" ht="19.5" x14ac:dyDescent="0.3">
      <c r="A27" s="18"/>
      <c r="B27" s="18"/>
      <c r="C27" s="6"/>
      <c r="D27" s="6"/>
      <c r="E27" s="3"/>
      <c r="F27" s="3"/>
      <c r="G27" s="3"/>
      <c r="H27" s="3"/>
      <c r="I27" s="9"/>
      <c r="J27" s="6"/>
      <c r="K27" s="6"/>
      <c r="L27" s="9"/>
      <c r="M27" s="3"/>
      <c r="N27" s="12"/>
      <c r="O27" s="12"/>
      <c r="P27" s="12"/>
      <c r="Q27" s="6"/>
      <c r="R27" s="6"/>
      <c r="S27" s="3"/>
      <c r="T27" s="3"/>
      <c r="U27" s="3"/>
      <c r="V27" s="3"/>
      <c r="W27" s="12"/>
      <c r="X27" s="6"/>
      <c r="Y27" s="6"/>
      <c r="Z27" s="3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18"/>
      <c r="B28" s="18"/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12"/>
      <c r="O28" s="12"/>
      <c r="P28" s="12"/>
      <c r="Q28" s="6"/>
      <c r="R28" s="6"/>
      <c r="S28" s="3"/>
      <c r="T28" s="3"/>
      <c r="U28" s="3"/>
      <c r="V28" s="3"/>
      <c r="W28" s="12"/>
      <c r="X28" s="6"/>
      <c r="Y28" s="6"/>
      <c r="Z28" s="3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18"/>
      <c r="B29" s="18"/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12"/>
      <c r="O29" s="12"/>
      <c r="P29" s="12"/>
      <c r="Q29" s="6"/>
      <c r="R29" s="6"/>
      <c r="S29" s="3"/>
      <c r="T29" s="3"/>
      <c r="U29" s="3"/>
      <c r="V29" s="3"/>
      <c r="W29" s="12"/>
      <c r="X29" s="6"/>
      <c r="Y29" s="6"/>
      <c r="Z29" s="3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18" t="s">
        <v>45</v>
      </c>
      <c r="B30" s="18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12"/>
      <c r="O30" s="12"/>
      <c r="P30" s="12"/>
      <c r="Q30" s="6"/>
      <c r="R30" s="6"/>
      <c r="S30" s="3"/>
      <c r="T30" s="3"/>
      <c r="U30" s="3"/>
      <c r="V30" s="3"/>
      <c r="W30" s="12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18" t="s">
        <v>46</v>
      </c>
      <c r="B31" s="18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12"/>
      <c r="O31" s="12"/>
      <c r="P31" s="12"/>
      <c r="Q31" s="6"/>
      <c r="R31" s="6"/>
      <c r="S31" s="3"/>
      <c r="T31" s="3"/>
      <c r="U31" s="3"/>
      <c r="V31" s="3"/>
      <c r="W31" s="12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8" t="s">
        <v>47</v>
      </c>
      <c r="B32" s="18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12"/>
      <c r="O32" s="12"/>
      <c r="P32" s="12"/>
      <c r="Q32" s="6"/>
      <c r="R32" s="6"/>
      <c r="S32" s="3"/>
      <c r="T32" s="3"/>
      <c r="U32" s="3"/>
      <c r="V32" s="3"/>
      <c r="W32" s="12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5" t="s">
        <v>48</v>
      </c>
      <c r="B33" s="15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10"/>
      <c r="J33" s="7"/>
      <c r="K33" s="7"/>
      <c r="L33" s="10"/>
      <c r="M33" s="4">
        <f>SUM(M25:M29)</f>
        <v>7.5</v>
      </c>
      <c r="N33" s="13"/>
      <c r="O33" s="13"/>
      <c r="P33" s="13"/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13"/>
      <c r="X33" s="7"/>
      <c r="Y33" s="7"/>
      <c r="Z33" s="4">
        <f>SUM(Z25:Z29)</f>
        <v>7.5</v>
      </c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105</v>
      </c>
    </row>
    <row r="34" spans="1:33" ht="19.5" x14ac:dyDescent="0.3">
      <c r="A34" s="15" t="s">
        <v>49</v>
      </c>
      <c r="B34" s="15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">
        <f>SUM(AG30:AG33)</f>
        <v>105</v>
      </c>
    </row>
    <row r="37" spans="1:33" x14ac:dyDescent="0.25">
      <c r="A37" s="20" t="s">
        <v>50</v>
      </c>
      <c r="B37" s="20" t="s">
        <v>51</v>
      </c>
      <c r="W37" s="23" t="s">
        <v>53</v>
      </c>
      <c r="X37" s="24"/>
      <c r="Y37" s="24"/>
      <c r="Z37" s="24"/>
      <c r="AA37" s="25"/>
      <c r="AB37" s="23" t="s">
        <v>9</v>
      </c>
      <c r="AC37" s="24"/>
      <c r="AD37" s="24"/>
      <c r="AE37" s="25"/>
    </row>
    <row r="38" spans="1:33" x14ac:dyDescent="0.25">
      <c r="A38" s="21"/>
      <c r="B38" s="21"/>
      <c r="W38" s="26"/>
      <c r="X38" s="27"/>
      <c r="Y38" s="27"/>
      <c r="Z38" s="27"/>
      <c r="AA38" s="28"/>
      <c r="AB38" s="26"/>
      <c r="AC38" s="27"/>
      <c r="AD38" s="27"/>
      <c r="AE38" s="28"/>
    </row>
    <row r="39" spans="1:33" ht="19.5" x14ac:dyDescent="0.25">
      <c r="A39" s="22"/>
      <c r="B39" s="17" t="s">
        <v>52</v>
      </c>
      <c r="W39" s="29"/>
      <c r="X39" s="30"/>
      <c r="Y39" s="30"/>
      <c r="Z39" s="30"/>
      <c r="AA39" s="31"/>
      <c r="AB39" s="32" t="s">
        <v>52</v>
      </c>
      <c r="AC39" s="30"/>
      <c r="AD39" s="30"/>
      <c r="AE39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2024-05-24T07:51:50Z</dcterms:created>
  <dcterms:modified xsi:type="dcterms:W3CDTF">2024-05-26T18:42:37Z</dcterms:modified>
  <cp:category/>
</cp:coreProperties>
</file>