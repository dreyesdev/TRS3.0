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6BB3A7F8-E324-47EB-AD75-A4DCEC1B2A4B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32" i="1"/>
  <c r="AH31" i="1"/>
  <c r="AH30" i="1"/>
  <c r="AH29" i="1"/>
  <c r="AH28" i="1"/>
  <c r="AH27" i="1"/>
  <c r="AG25" i="1"/>
  <c r="AG26" i="1" s="1"/>
  <c r="AF25" i="1"/>
  <c r="AF26" i="1" s="1"/>
  <c r="AF33" i="1" s="1"/>
  <c r="AE25" i="1"/>
  <c r="AB25" i="1"/>
  <c r="AB26" i="1" s="1"/>
  <c r="AA25" i="1"/>
  <c r="Z25" i="1"/>
  <c r="Z26" i="1" s="1"/>
  <c r="Z33" i="1" s="1"/>
  <c r="Y25" i="1"/>
  <c r="X25" i="1"/>
  <c r="X26" i="1" s="1"/>
  <c r="U25" i="1"/>
  <c r="T25" i="1"/>
  <c r="T26" i="1" s="1"/>
  <c r="T33" i="1" s="1"/>
  <c r="S25" i="1"/>
  <c r="R25" i="1"/>
  <c r="R26" i="1" s="1"/>
  <c r="Q25" i="1"/>
  <c r="Q26" i="1" s="1"/>
  <c r="N25" i="1"/>
  <c r="N26" i="1" s="1"/>
  <c r="N33" i="1" s="1"/>
  <c r="M25" i="1"/>
  <c r="L25" i="1"/>
  <c r="K25" i="1"/>
  <c r="J25" i="1"/>
  <c r="J26" i="1" s="1"/>
  <c r="J33" i="1" s="1"/>
  <c r="G25" i="1"/>
  <c r="F25" i="1"/>
  <c r="F26" i="1" s="1"/>
  <c r="E25" i="1"/>
  <c r="E26" i="1" s="1"/>
  <c r="D25" i="1"/>
  <c r="D26" i="1" s="1"/>
  <c r="AH23" i="1"/>
  <c r="D33" i="1" l="1"/>
  <c r="K26" i="1"/>
  <c r="K33" i="1" s="1"/>
  <c r="U26" i="1"/>
  <c r="U33" i="1" s="1"/>
  <c r="AH25" i="1"/>
  <c r="L26" i="1"/>
  <c r="L33" i="1" s="1"/>
  <c r="E33" i="1"/>
  <c r="Q33" i="1"/>
  <c r="AG33" i="1"/>
  <c r="G26" i="1"/>
  <c r="G33" i="1" s="1"/>
  <c r="M26" i="1"/>
  <c r="M33" i="1" s="1"/>
  <c r="S26" i="1"/>
  <c r="Y26" i="1"/>
  <c r="Y33" i="1" s="1"/>
  <c r="AE26" i="1"/>
  <c r="AE33" i="1" s="1"/>
  <c r="F33" i="1"/>
  <c r="R33" i="1"/>
  <c r="X33" i="1"/>
  <c r="AB33" i="1"/>
  <c r="AA26" i="1"/>
  <c r="AA33" i="1" s="1"/>
  <c r="AH26" i="1" l="1"/>
  <c r="AH33" i="1" s="1"/>
  <c r="S33" i="1"/>
  <c r="P16" i="1"/>
  <c r="X16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<sst xmlns="http://schemas.openxmlformats.org/spreadsheetml/2006/main" count="81" uniqueCount="55">
  <si>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</si>
  <si>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</si>
  <si>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</si>
  <si>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</si>
  <si>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</si>
  <si>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</si>
  <si>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</si>
  <si>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</si>
  <si>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</si>
  <si>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</si>
  <si>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</si>
  <si>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</si>
  <si>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</si>
  <si>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</si>
  <si>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</si>
  <si>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</si>
  <si>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</si>
  <si>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</si>
  <si>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</si>
  <si>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</si>
  <si>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</si>
  <si>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</si>
  <si>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</si>
  <si>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</si>
  <si>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</si>
  <si>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</si>
  <si>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</si>
  <si>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</si>
  <si>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</si>
  <si>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</si>
  <si>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</si>
  <si>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</si>
  <si>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</si>
  <si>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</si>
  <si>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</si>
  <si>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</si>
  <si>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</si>
  <si>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</si>
  <si>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</si>
  <si>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</si>
  <si>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</si>
  <si>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30% Estimated:49.5 h</t>
  </si>
  <si>
    <t>PE114000 EERIE - WP11 MP3 - Development of efficient and portable workflows and diagnostics for ER-ESMs</t>
  </si>
  <si>
    <t>Dedicacion: 70% Estimated:115.5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</si>
  <si>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</si>
  <si>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</si>
  <si>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</si>
  <si>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</si>
  <si>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</si>
  <si>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</si>
  <si>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</si>
  <si>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</si>
  <si>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2023-06-06</t>
  </si>
  <si>
    <t xml:space="preserve">Date and signature of staff member:	</t>
  </si>
  <si>
    <t xml:space="preserve">Total Hours worked on project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</si>
</sst>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70" zoomScaleNormal="70" workbookViewId="0">
      <selection activeCell="AB39" sqref="AB39:AE39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4" ht="26.25" x14ac:dyDescent="0.4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AH33</f>
        <v>165</v>
      </c>
      <c r="I16" s="37"/>
      <c r="K16" s="39" t="s">
        <v>18</v>
      </c>
      <c r="L16" s="40"/>
      <c r="M16" s="40"/>
      <c r="N16" s="40"/>
      <c r="O16" s="40"/>
      <c r="P16" s="37">
        <f>AH25</f>
        <v>165</v>
      </c>
      <c r="Q16" s="37"/>
      <c r="S16" s="39" t="s">
        <v>19</v>
      </c>
      <c r="T16" s="40"/>
      <c r="U16" s="40"/>
      <c r="V16" s="40"/>
      <c r="W16" s="40"/>
      <c r="X16" s="37">
        <f>(P16/7.5) *1</f>
        <v>22</v>
      </c>
      <c r="Y16" s="37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8"/>
      <c r="D21" s="34"/>
      <c r="E21" s="34"/>
      <c r="F21" s="34"/>
      <c r="G21" s="34"/>
      <c r="H21" s="36"/>
      <c r="I21" s="36"/>
      <c r="J21" s="34"/>
      <c r="K21" s="34"/>
      <c r="L21" s="34"/>
      <c r="M21" s="34"/>
      <c r="N21" s="34"/>
      <c r="O21" s="36"/>
      <c r="P21" s="36"/>
      <c r="Q21" s="34"/>
      <c r="R21" s="34"/>
      <c r="S21" s="34"/>
      <c r="T21" s="34"/>
      <c r="U21" s="34"/>
      <c r="V21" s="36"/>
      <c r="W21" s="36"/>
      <c r="X21" s="34"/>
      <c r="Y21" s="34"/>
      <c r="Z21" s="34"/>
      <c r="AA21" s="34"/>
      <c r="AB21" s="34"/>
      <c r="AC21" s="36"/>
      <c r="AD21" s="36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8"/>
      <c r="D22" s="34"/>
      <c r="E22" s="34"/>
      <c r="F22" s="34"/>
      <c r="G22" s="34"/>
      <c r="H22" s="36"/>
      <c r="I22" s="36"/>
      <c r="J22" s="34"/>
      <c r="K22" s="34"/>
      <c r="L22" s="34"/>
      <c r="M22" s="34"/>
      <c r="N22" s="34"/>
      <c r="O22" s="36"/>
      <c r="P22" s="36"/>
      <c r="Q22" s="34"/>
      <c r="R22" s="34"/>
      <c r="S22" s="34"/>
      <c r="T22" s="34"/>
      <c r="U22" s="34"/>
      <c r="V22" s="36"/>
      <c r="W22" s="36"/>
      <c r="X22" s="34"/>
      <c r="Y22" s="34"/>
      <c r="Z22" s="34"/>
      <c r="AA22" s="34"/>
      <c r="AB22" s="34"/>
      <c r="AC22" s="36"/>
      <c r="AD22" s="36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>
        <v>2.5</v>
      </c>
      <c r="E23" s="3">
        <v>4</v>
      </c>
      <c r="F23" s="3">
        <v>4</v>
      </c>
      <c r="G23" s="3">
        <v>3</v>
      </c>
      <c r="H23" s="9"/>
      <c r="I23" s="9"/>
      <c r="J23" s="3">
        <v>4.5</v>
      </c>
      <c r="K23" s="3">
        <v>4</v>
      </c>
      <c r="L23" s="3">
        <v>3</v>
      </c>
      <c r="M23" s="3">
        <v>4.5</v>
      </c>
      <c r="N23" s="3">
        <v>4</v>
      </c>
      <c r="O23" s="9"/>
      <c r="P23" s="9"/>
      <c r="Q23" s="3">
        <v>3.5</v>
      </c>
      <c r="R23" s="3">
        <v>2.5</v>
      </c>
      <c r="S23" s="3">
        <v>3.5</v>
      </c>
      <c r="T23" s="3">
        <v>3</v>
      </c>
      <c r="U23" s="3">
        <v>3.5</v>
      </c>
      <c r="V23" s="9"/>
      <c r="W23" s="9"/>
      <c r="X23" s="3"/>
      <c r="Y23" s="3"/>
      <c r="Z23" s="3"/>
      <c r="AA23" s="3"/>
      <c r="AB23" s="3"/>
      <c r="AC23" s="9"/>
      <c r="AD23" s="9"/>
      <c r="AE23" s="3"/>
      <c r="AF23" s="3"/>
      <c r="AG23" s="3"/>
      <c r="AH23" s="3">
        <f>SUM(C23:AG23)</f>
        <v>49.5</v>
      </c>
      <c r="AI23" s="13">
        <f>AH23/$AH$34</f>
        <v>0.3</v>
      </c>
    </row>
    <row r="24" spans="1:35" ht="19.5" x14ac:dyDescent="0.3">
      <c r="A24" s="12" t="s">
        <v>42</v>
      </c>
      <c r="B24" s="12" t="s">
        <v>43</v>
      </c>
      <c r="C24" s="6"/>
      <c r="D24" s="3">
        <v>5</v>
      </c>
      <c r="E24" s="3">
        <v>3.5</v>
      </c>
      <c r="F24" s="3">
        <v>3.5</v>
      </c>
      <c r="G24" s="3">
        <v>4.5</v>
      </c>
      <c r="H24" s="9"/>
      <c r="I24" s="9"/>
      <c r="J24" s="3">
        <v>3</v>
      </c>
      <c r="K24" s="3">
        <v>3.5</v>
      </c>
      <c r="L24" s="3">
        <v>4.5</v>
      </c>
      <c r="M24" s="3">
        <v>3</v>
      </c>
      <c r="N24" s="3">
        <v>3.5</v>
      </c>
      <c r="O24" s="9"/>
      <c r="P24" s="9"/>
      <c r="Q24" s="3">
        <v>4</v>
      </c>
      <c r="R24" s="3">
        <v>5</v>
      </c>
      <c r="S24" s="3">
        <v>4</v>
      </c>
      <c r="T24" s="3">
        <v>4.5</v>
      </c>
      <c r="U24" s="3">
        <v>4</v>
      </c>
      <c r="V24" s="9"/>
      <c r="W24" s="9"/>
      <c r="X24" s="3">
        <v>7.5</v>
      </c>
      <c r="Y24" s="3">
        <v>7.5</v>
      </c>
      <c r="Z24" s="3">
        <v>7.5</v>
      </c>
      <c r="AA24" s="3">
        <v>7.5</v>
      </c>
      <c r="AB24" s="3">
        <v>7.5</v>
      </c>
      <c r="AC24" s="9"/>
      <c r="AD24" s="9"/>
      <c r="AE24" s="3">
        <v>7.5</v>
      </c>
      <c r="AF24" s="3">
        <v>7.5</v>
      </c>
      <c r="AG24" s="3">
        <v>7.5</v>
      </c>
      <c r="AH24" s="3">
        <f>SUM(C24:AG24)</f>
        <v>115.5</v>
      </c>
      <c r="AI24" s="13">
        <f>AH24/$AH$34</f>
        <v>0.7</v>
      </c>
    </row>
    <row r="25" spans="1:35" ht="19.5" x14ac:dyDescent="0.3">
      <c r="A25" s="32" t="s">
        <v>54</v>
      </c>
      <c r="B25" s="33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1">
        <f>AH25/$AH$34</f>
        <v>1</v>
      </c>
    </row>
    <row r="26" spans="1:35" ht="19.5" x14ac:dyDescent="0.3">
      <c r="A26" s="29" t="s">
        <v>44</v>
      </c>
      <c r="B26" s="29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29"/>
      <c r="B27" s="29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29"/>
      <c r="B28" s="29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29"/>
      <c r="B29" s="29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29" t="s">
        <v>45</v>
      </c>
      <c r="B30" s="29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29" t="s">
        <v>46</v>
      </c>
      <c r="B31" s="29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29" t="s">
        <v>47</v>
      </c>
      <c r="B32" s="29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48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3">
      <c r="A34" s="12" t="s">
        <v>49</v>
      </c>
      <c r="B34" s="1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">
        <f>SUM(AH30:AH33)</f>
        <v>165</v>
      </c>
    </row>
    <row r="37" spans="1:34" x14ac:dyDescent="0.25">
      <c r="A37" s="16" t="s">
        <v>50</v>
      </c>
      <c r="B37" s="16" t="s">
        <v>51</v>
      </c>
      <c r="W37" s="19" t="s">
        <v>53</v>
      </c>
      <c r="X37" s="20"/>
      <c r="Y37" s="20"/>
      <c r="Z37" s="20"/>
      <c r="AA37" s="21"/>
      <c r="AB37" s="19" t="s">
        <v>9</v>
      </c>
      <c r="AC37" s="20"/>
      <c r="AD37" s="20"/>
      <c r="AE37" s="21"/>
    </row>
    <row r="38" spans="1:34" x14ac:dyDescent="0.25">
      <c r="A38" s="17"/>
      <c r="B38" s="17"/>
      <c r="W38" s="22"/>
      <c r="X38" s="23"/>
      <c r="Y38" s="23"/>
      <c r="Z38" s="23"/>
      <c r="AA38" s="24"/>
      <c r="AB38" s="22"/>
      <c r="AC38" s="23"/>
      <c r="AD38" s="23"/>
      <c r="AE38" s="24"/>
    </row>
    <row r="39" spans="1:34" ht="19.5" x14ac:dyDescent="0.25">
      <c r="A39" s="18"/>
      <c r="B39" s="14" t="s">
        <v>52</v>
      </c>
      <c r="W39" s="25"/>
      <c r="X39" s="26"/>
      <c r="Y39" s="26"/>
      <c r="Z39" s="26"/>
      <c r="AA39" s="27"/>
      <c r="AB39" s="28" t="s">
        <v>52</v>
      </c>
      <c r="AC39" s="26"/>
      <c r="AD39" s="26"/>
      <c r="AE39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2024-05-24T07:51:50Z</dcterms:created>
  <dcterms:modified xsi:type="dcterms:W3CDTF">2024-05-26T18:43:36Z</dcterms:modified>
  <cp:category/>
</cp:coreProperties>
</file>