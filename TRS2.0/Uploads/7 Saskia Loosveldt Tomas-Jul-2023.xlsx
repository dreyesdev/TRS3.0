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2B83105B-A911-457C-A216-56F9DAC4963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5" i="1" l="1"/>
  <c r="AB26" i="1" s="1"/>
  <c r="AB33" i="1" s="1"/>
  <c r="V25" i="1"/>
  <c r="V26" i="1" s="1"/>
  <c r="V33" i="1" s="1"/>
  <c r="P25" i="1"/>
  <c r="P26" i="1" s="1"/>
  <c r="P33" i="1" s="1"/>
  <c r="L25" i="1"/>
  <c r="L26" i="1" s="1"/>
  <c r="L33" i="1" s="1"/>
  <c r="F25" i="1"/>
  <c r="F26" i="1" s="1"/>
  <c r="F33" i="1" s="1"/>
  <c r="AH32" i="1"/>
  <c r="AH31" i="1"/>
  <c r="AH30" i="1"/>
  <c r="AH29" i="1"/>
  <c r="AH28" i="1"/>
  <c r="AH27" i="1"/>
  <c r="AG25" i="1"/>
  <c r="AG26" i="1" s="1"/>
  <c r="AG33" i="1" s="1"/>
  <c r="AD25" i="1"/>
  <c r="AD26" i="1" s="1"/>
  <c r="AD33" i="1" s="1"/>
  <c r="AC25" i="1"/>
  <c r="AA25" i="1"/>
  <c r="AA26" i="1" s="1"/>
  <c r="AA33" i="1" s="1"/>
  <c r="Z25" i="1"/>
  <c r="Z26" i="1" s="1"/>
  <c r="Z33" i="1" s="1"/>
  <c r="W25" i="1"/>
  <c r="U25" i="1"/>
  <c r="U26" i="1" s="1"/>
  <c r="U33" i="1" s="1"/>
  <c r="T25" i="1"/>
  <c r="T26" i="1" s="1"/>
  <c r="T33" i="1" s="1"/>
  <c r="S25" i="1"/>
  <c r="O25" i="1"/>
  <c r="O26" i="1" s="1"/>
  <c r="O33" i="1" s="1"/>
  <c r="N25" i="1"/>
  <c r="N26" i="1" s="1"/>
  <c r="N33" i="1" s="1"/>
  <c r="M25" i="1"/>
  <c r="I25" i="1"/>
  <c r="I26" i="1" s="1"/>
  <c r="I33" i="1" s="1"/>
  <c r="H25" i="1"/>
  <c r="H26" i="1" s="1"/>
  <c r="H33" i="1" s="1"/>
  <c r="G25" i="1"/>
  <c r="E25" i="1"/>
  <c r="E26" i="1" s="1"/>
  <c r="AH23" i="1"/>
  <c r="AH24" i="1" l="1"/>
  <c r="AH25" i="1" s="1"/>
  <c r="P16" i="1" s="1"/>
  <c r="X16" i="1" s="1"/>
  <c r="E33" i="1"/>
  <c r="G26" i="1"/>
  <c r="M26" i="1"/>
  <c r="M33" i="1" s="1"/>
  <c r="S26" i="1"/>
  <c r="S33" i="1" s="1"/>
  <c r="W26" i="1"/>
  <c r="W33" i="1" s="1"/>
  <c r="AC26" i="1"/>
  <c r="AC33" i="1" s="1"/>
  <c r="AH26" i="1" l="1"/>
  <c r="AH33" i="1" s="1"/>
  <c r="H16" i="1" s="1"/>
  <c r="G33" i="1"/>
  <c r="AH34" i="1" l="1"/>
  <c r="AI24" i="1" s="1"/>
  <c r="AI25" i="1" l="1"/>
  <c r="AI23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<sst xmlns="http://schemas.openxmlformats.org/spreadsheetml/2006/main" count="81" uniqueCount="55">
  <si>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</si>
  <si>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</si>
  <si>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</si>
  <si>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</si>
  <si>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</si>
  <si>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</si>
  <si>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</si>
  <si>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</si>
  <si>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</si>
  <si>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</si>
  <si>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</si>
  <si>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</si>
  <si>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</si>
  <si>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</si>
  <si>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</si>
  <si>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</si>
  <si>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</si>
  <si>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</si>
  <si>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</si>
  <si>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</si>
  <si>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</si>
  <si>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</si>
  <si>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</si>
  <si>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</si>
  <si>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</si>
  <si>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</si>
  <si>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</si>
  <si>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</si>
  <si>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</si>
  <si>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</si>
  <si>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</si>
  <si>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</si>
  <si>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</si>
  <si>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</si>
  <si>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</si>
  <si>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</si>
  <si>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</si>
  <si>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</si>
  <si>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</si>
  <si>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</si>
  <si>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</si>
  <si>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60% Estimated:94.5 h</t>
  </si>
  <si>
    <t>PE114000 EERIE - WP11 MP3 - Development of efficient and portable workflows and diagnostics for ER-ESMs</t>
  </si>
  <si>
    <t>Dedicacion: 40% Estimated:63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</si>
  <si>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</si>
  <si>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</si>
  <si>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</si>
  <si>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</si>
  <si>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</si>
  <si>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</si>
  <si>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</si>
  <si>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</si>
  <si>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</si>
  <si>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2023-08-21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</si>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</sst>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70" zoomScaleNormal="70" workbookViewId="0">
      <selection activeCell="AB39" sqref="AB39:AE39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.25" x14ac:dyDescent="0.4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5" t="s">
        <v>17</v>
      </c>
      <c r="G16" s="36"/>
      <c r="H16" s="34">
        <f>AH33</f>
        <v>157.5</v>
      </c>
      <c r="I16" s="34"/>
      <c r="K16" s="35" t="s">
        <v>18</v>
      </c>
      <c r="L16" s="36"/>
      <c r="M16" s="36"/>
      <c r="N16" s="36"/>
      <c r="O16" s="36"/>
      <c r="P16" s="34">
        <f>AH25</f>
        <v>157.5</v>
      </c>
      <c r="Q16" s="34"/>
      <c r="S16" s="35" t="s">
        <v>19</v>
      </c>
      <c r="T16" s="36"/>
      <c r="U16" s="36"/>
      <c r="V16" s="36"/>
      <c r="W16" s="36"/>
      <c r="X16" s="34">
        <f>(P16/7.5) *1</f>
        <v>21</v>
      </c>
      <c r="Y16" s="34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2"/>
      <c r="AI20" s="15"/>
    </row>
    <row r="21" spans="1:35" ht="19.5" x14ac:dyDescent="0.3">
      <c r="A21" s="27" t="s">
        <v>38</v>
      </c>
      <c r="B21" s="27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19.5" x14ac:dyDescent="0.3">
      <c r="A22" s="28" t="s">
        <v>39</v>
      </c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3">
      <c r="A23" s="9" t="s">
        <v>40</v>
      </c>
      <c r="B23" s="9" t="s">
        <v>41</v>
      </c>
      <c r="C23" s="6"/>
      <c r="D23" s="6"/>
      <c r="E23" s="3">
        <v>5</v>
      </c>
      <c r="F23" s="3">
        <v>5</v>
      </c>
      <c r="G23" s="3">
        <v>4</v>
      </c>
      <c r="H23" s="3">
        <v>5</v>
      </c>
      <c r="I23" s="3">
        <v>4</v>
      </c>
      <c r="J23" s="6"/>
      <c r="K23" s="6"/>
      <c r="L23" s="3">
        <v>4</v>
      </c>
      <c r="M23" s="3">
        <v>5</v>
      </c>
      <c r="N23" s="3">
        <v>4</v>
      </c>
      <c r="O23" s="3">
        <v>4</v>
      </c>
      <c r="P23" s="3">
        <v>5</v>
      </c>
      <c r="Q23" s="6"/>
      <c r="R23" s="6"/>
      <c r="S23" s="3">
        <v>4</v>
      </c>
      <c r="T23" s="3">
        <v>4</v>
      </c>
      <c r="U23" s="3">
        <v>5</v>
      </c>
      <c r="V23" s="3">
        <v>4</v>
      </c>
      <c r="W23" s="3">
        <v>5</v>
      </c>
      <c r="X23" s="6"/>
      <c r="Y23" s="6"/>
      <c r="Z23" s="3">
        <v>4.5</v>
      </c>
      <c r="AA23" s="3">
        <v>4</v>
      </c>
      <c r="AB23" s="3">
        <v>4</v>
      </c>
      <c r="AC23" s="3">
        <v>5</v>
      </c>
      <c r="AD23" s="3">
        <v>5</v>
      </c>
      <c r="AE23" s="6"/>
      <c r="AF23" s="6"/>
      <c r="AG23" s="3">
        <v>5</v>
      </c>
      <c r="AH23" s="3">
        <f>SUM(C23:AG23)</f>
        <v>94.5</v>
      </c>
      <c r="AI23" s="10">
        <f>AH23/$AH$34</f>
        <v>0.6</v>
      </c>
    </row>
    <row r="24" spans="1:35" ht="19.5" x14ac:dyDescent="0.3">
      <c r="A24" s="9" t="s">
        <v>42</v>
      </c>
      <c r="B24" s="9" t="s">
        <v>43</v>
      </c>
      <c r="C24" s="6"/>
      <c r="D24" s="6"/>
      <c r="E24" s="3">
        <v>2.5</v>
      </c>
      <c r="F24" s="3">
        <v>2.5</v>
      </c>
      <c r="G24" s="3">
        <v>3.5</v>
      </c>
      <c r="H24" s="3">
        <v>2.5</v>
      </c>
      <c r="I24" s="3">
        <v>3.5</v>
      </c>
      <c r="J24" s="6"/>
      <c r="K24" s="6"/>
      <c r="L24" s="3">
        <v>3.5</v>
      </c>
      <c r="M24" s="3">
        <v>2.5</v>
      </c>
      <c r="N24" s="3">
        <v>3.5</v>
      </c>
      <c r="O24" s="3">
        <v>3.5</v>
      </c>
      <c r="P24" s="3">
        <v>2.5</v>
      </c>
      <c r="Q24" s="6"/>
      <c r="R24" s="6"/>
      <c r="S24" s="3">
        <v>3.5</v>
      </c>
      <c r="T24" s="3">
        <v>3.5</v>
      </c>
      <c r="U24" s="3">
        <v>2.5</v>
      </c>
      <c r="V24" s="3">
        <v>3.5</v>
      </c>
      <c r="W24" s="3">
        <v>2.5</v>
      </c>
      <c r="X24" s="6"/>
      <c r="Y24" s="6"/>
      <c r="Z24" s="3">
        <v>3</v>
      </c>
      <c r="AA24" s="3">
        <v>3.5</v>
      </c>
      <c r="AB24" s="3">
        <v>3.5</v>
      </c>
      <c r="AC24" s="3">
        <v>2.5</v>
      </c>
      <c r="AD24" s="3">
        <v>2.5</v>
      </c>
      <c r="AE24" s="6"/>
      <c r="AF24" s="6"/>
      <c r="AG24" s="3">
        <v>2.5</v>
      </c>
      <c r="AH24" s="3">
        <f>SUM(C24:AG24)</f>
        <v>63</v>
      </c>
      <c r="AI24" s="10">
        <f>AH24/$AH$34</f>
        <v>0.4</v>
      </c>
    </row>
    <row r="25" spans="1:35" ht="19.5" x14ac:dyDescent="0.3">
      <c r="A25" s="29" t="s">
        <v>44</v>
      </c>
      <c r="B25" s="30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7.5</v>
      </c>
      <c r="AH25" s="4">
        <f>SUM(AH23:AH24)</f>
        <v>157.5</v>
      </c>
      <c r="AI25" s="8">
        <f>AH25/$AH$34</f>
        <v>1</v>
      </c>
    </row>
    <row r="26" spans="1:35" ht="19.5" x14ac:dyDescent="0.3">
      <c r="A26" s="26" t="s">
        <v>45</v>
      </c>
      <c r="B26" s="26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26"/>
      <c r="B27" s="26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/>
      <c r="AH27" s="3">
        <f t="shared" si="0"/>
        <v>0</v>
      </c>
    </row>
    <row r="28" spans="1:35" ht="19.5" x14ac:dyDescent="0.3">
      <c r="A28" s="26"/>
      <c r="B28" s="26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3">
      <c r="A29" s="26"/>
      <c r="B29" s="26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26" t="s">
        <v>46</v>
      </c>
      <c r="B30" s="26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26" t="s">
        <v>47</v>
      </c>
      <c r="B31" s="2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26" t="s">
        <v>48</v>
      </c>
      <c r="B32" s="26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3">
      <c r="A33" s="9" t="s">
        <v>49</v>
      </c>
      <c r="B33" s="9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7.5</v>
      </c>
      <c r="AH33" s="4">
        <f>SUM(AH25:AH29)</f>
        <v>157.5</v>
      </c>
    </row>
    <row r="34" spans="1:34" ht="19.5" x14ac:dyDescent="0.3">
      <c r="A34" s="9" t="s">
        <v>50</v>
      </c>
      <c r="B34" s="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2">
        <f>SUM(AH30:AH33)</f>
        <v>157.5</v>
      </c>
    </row>
    <row r="37" spans="1:34" x14ac:dyDescent="0.25">
      <c r="A37" s="13" t="s">
        <v>51</v>
      </c>
      <c r="B37" s="13" t="s">
        <v>52</v>
      </c>
      <c r="W37" s="16" t="s">
        <v>54</v>
      </c>
      <c r="X37" s="17"/>
      <c r="Y37" s="17"/>
      <c r="Z37" s="17"/>
      <c r="AA37" s="18"/>
      <c r="AB37" s="16" t="s">
        <v>9</v>
      </c>
      <c r="AC37" s="17"/>
      <c r="AD37" s="17"/>
      <c r="AE37" s="18"/>
    </row>
    <row r="38" spans="1:34" x14ac:dyDescent="0.25">
      <c r="A38" s="14"/>
      <c r="B38" s="14"/>
      <c r="W38" s="19"/>
      <c r="X38" s="20"/>
      <c r="Y38" s="20"/>
      <c r="Z38" s="20"/>
      <c r="AA38" s="21"/>
      <c r="AB38" s="19"/>
      <c r="AC38" s="20"/>
      <c r="AD38" s="20"/>
      <c r="AE38" s="21"/>
    </row>
    <row r="39" spans="1:34" ht="19.5" x14ac:dyDescent="0.25">
      <c r="A39" s="15"/>
      <c r="B39" s="11" t="s">
        <v>53</v>
      </c>
      <c r="W39" s="22"/>
      <c r="X39" s="23"/>
      <c r="Y39" s="23"/>
      <c r="Z39" s="23"/>
      <c r="AA39" s="24"/>
      <c r="AB39" s="25" t="s">
        <v>53</v>
      </c>
      <c r="AC39" s="23"/>
      <c r="AD39" s="23"/>
      <c r="AE39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2024-05-24T07:51:52Z</dcterms:created>
  <dcterms:modified xsi:type="dcterms:W3CDTF">2024-05-26T18:45:31Z</dcterms:modified>
  <cp:category/>
</cp:coreProperties>
</file>