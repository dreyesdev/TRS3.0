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Eduardo Javier Perez Sanchez\"/>
    </mc:Choice>
  </mc:AlternateContent>
  <xr:revisionPtr revIDLastSave="0" documentId="13_ncr:1_{B6863762-962F-47AE-86AA-98D6C184197D}" xr6:coauthVersionLast="47" xr6:coauthVersionMax="47" xr10:uidLastSave="{00000000-0000-0000-0000-000000000000}"/>
  <bookViews>
    <workbookView xWindow="-20520" yWindow="-1680" windowWidth="2064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1" l="1"/>
  <c r="AF25" i="1"/>
  <c r="AE25" i="1"/>
  <c r="AD25" i="1"/>
  <c r="AC25" i="1"/>
  <c r="Z25" i="1"/>
  <c r="X23" i="1" l="1"/>
  <c r="X26" i="1" s="1"/>
  <c r="W23" i="1"/>
  <c r="W26" i="1" s="1"/>
  <c r="V23" i="1"/>
  <c r="V26" i="1" s="1"/>
  <c r="V27" i="1" s="1"/>
  <c r="Q23" i="1"/>
  <c r="P23" i="1"/>
  <c r="O23" i="1"/>
  <c r="L23" i="1"/>
  <c r="K23" i="1"/>
  <c r="J23" i="1"/>
  <c r="I23" i="1"/>
  <c r="H23" i="1"/>
  <c r="E23" i="1"/>
  <c r="D23" i="1"/>
  <c r="C23" i="1"/>
  <c r="AH33" i="1"/>
  <c r="AH32" i="1"/>
  <c r="AH31" i="1"/>
  <c r="AH30" i="1"/>
  <c r="AH29" i="1"/>
  <c r="AH28" i="1"/>
  <c r="K27" i="1"/>
  <c r="E27" i="1"/>
  <c r="AG26" i="1"/>
  <c r="AF26" i="1"/>
  <c r="AE26" i="1"/>
  <c r="AD26" i="1"/>
  <c r="AC26" i="1"/>
  <c r="Z26" i="1"/>
  <c r="Y26" i="1"/>
  <c r="S26" i="1"/>
  <c r="R26" i="1"/>
  <c r="R27" i="1" s="1"/>
  <c r="Q26" i="1"/>
  <c r="Q27" i="1" s="1"/>
  <c r="P26" i="1"/>
  <c r="P27" i="1" s="1"/>
  <c r="O26" i="1"/>
  <c r="O27" i="1" s="1"/>
  <c r="O34" i="1" s="1"/>
  <c r="L26" i="1"/>
  <c r="K26" i="1"/>
  <c r="J26" i="1"/>
  <c r="J27" i="1" s="1"/>
  <c r="I26" i="1"/>
  <c r="I27" i="1" s="1"/>
  <c r="I34" i="1" s="1"/>
  <c r="H26" i="1"/>
  <c r="E26" i="1"/>
  <c r="D26" i="1"/>
  <c r="D27" i="1" s="1"/>
  <c r="C26" i="1"/>
  <c r="C27" i="1" s="1"/>
  <c r="AH25" i="1"/>
  <c r="AH24" i="1"/>
  <c r="W27" i="1" l="1"/>
  <c r="W34" i="1" s="1"/>
  <c r="X27" i="1"/>
  <c r="X34" i="1" s="1"/>
  <c r="S34" i="1"/>
  <c r="E34" i="1"/>
  <c r="S27" i="1"/>
  <c r="AH23" i="1"/>
  <c r="Q34" i="1"/>
  <c r="R34" i="1"/>
  <c r="K34" i="1"/>
  <c r="AF34" i="1"/>
  <c r="AC27" i="1"/>
  <c r="AC34" i="1" s="1"/>
  <c r="AG27" i="1"/>
  <c r="AG34" i="1" s="1"/>
  <c r="AD27" i="1"/>
  <c r="AD34" i="1" s="1"/>
  <c r="Y27" i="1"/>
  <c r="Y34" i="1" s="1"/>
  <c r="AE27" i="1"/>
  <c r="AE34" i="1" s="1"/>
  <c r="Z27" i="1"/>
  <c r="Z34" i="1" s="1"/>
  <c r="AF27" i="1"/>
  <c r="V34" i="1"/>
  <c r="AH26" i="1"/>
  <c r="C34" i="1"/>
  <c r="H27" i="1"/>
  <c r="H34" i="1" s="1"/>
  <c r="L27" i="1"/>
  <c r="L34" i="1" s="1"/>
  <c r="D34" i="1"/>
  <c r="J34" i="1"/>
  <c r="P34" i="1"/>
  <c r="P16" i="1" l="1"/>
  <c r="X16" i="1" s="1"/>
  <c r="AH27" i="1"/>
  <c r="AH34" i="1" s="1"/>
  <c r="H16" i="1" l="1"/>
  <c r="AH35" i="1"/>
  <c r="AI24" i="1" l="1"/>
  <c r="AI25" i="1"/>
  <c r="AI23" i="1"/>
  <c r="AI26" i="1"/>
</calcChain>
</file>

<file path=xl/sharedStrings.xml><?xml version="1.0" encoding="utf-8"?>
<sst xmlns="http://schemas.openxmlformats.org/spreadsheetml/2006/main" count="93" uniqueCount="67">
  <si>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</si>
  <si>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</si>
  <si>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</si>
  <si>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</si>
  <si>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</si>
  <si>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</si>
  <si>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</si>
  <si>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</si>
  <si>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</si>
  <si>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Eduardo Javier Pérez Sánchez</t>
  </si>
  <si>
    <t>R2 (recognised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</si>
  <si>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</si>
  <si>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</si>
  <si>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</si>
  <si>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</si>
  <si>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</si>
  <si>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</si>
  <si>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</si>
  <si>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</si>
  <si>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</si>
  <si>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</si>
  <si>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</si>
  <si>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</si>
  <si>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</si>
  <si>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</si>
  <si>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</si>
  <si>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</si>
  <si>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</si>
  <si>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</si>
  <si>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</si>
  <si>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</si>
  <si>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</si>
  <si>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</si>
  <si>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</si>
  <si>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</si>
  <si>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</si>
  <si>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</si>
  <si>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</si>
  <si>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</si>
  <si>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</si>
  <si>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pe083200 CoEC - WP7 WP7: Application challenges</t>
  </si>
  <si>
    <t>Dedicacion: 66% Estimated:121.44 h</t>
  </si>
  <si>
    <t>PE119600 INDIGO - WP1 Aircraft concept generation and requirement for airport LAQN</t>
  </si>
  <si>
    <t>Dedicacion: 4% Estimated:7.36 h</t>
  </si>
  <si>
    <t>pe083200 CoEC - WP5 WP5: Exascale technologies</t>
  </si>
  <si>
    <t>Dedicacion: 30% Estimated:55.2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</si>
  <si>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</si>
  <si>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</si>
  <si>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</si>
  <si>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</si>
  <si>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</si>
  <si>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</si>
  <si>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</si>
  <si>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</si>
  <si>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Daniel Mira Martínez</t>
  </si>
  <si>
    <t>2023-04-04</t>
  </si>
  <si>
    <t xml:space="preserve">Date and signature of staff member:	</t>
  </si>
  <si>
    <t>2023-04-05</t>
  </si>
  <si>
    <t>TRAVELS</t>
  </si>
  <si>
    <t>Liq Id</t>
  </si>
  <si>
    <t>Project</t>
  </si>
  <si>
    <t>Dedication</t>
  </si>
  <si>
    <t>StartDate</t>
  </si>
  <si>
    <t>EndDate</t>
  </si>
  <si>
    <t>0359/23</t>
  </si>
  <si>
    <t>2023-03-16</t>
  </si>
  <si>
    <t>PE119600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</si>
</sst>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4"/>
  <sheetViews>
    <sheetView tabSelected="1" topLeftCell="A13" zoomScale="50" zoomScaleNormal="50" workbookViewId="0">
      <selection activeCell="P40" sqref="P40"/>
    </sheetView>
  </sheetViews>
  <sheetFormatPr baseColWidth="10" defaultColWidth="8.90625" defaultRowHeight="14.5" x14ac:dyDescent="0.35"/>
  <cols>
    <col min="1" max="2" width="40" customWidth="1"/>
    <col min="35" max="35" width="18.08984375" customWidth="1"/>
  </cols>
  <sheetData>
    <row r="2" spans="1:34" ht="19.5" x14ac:dyDescent="0.45">
      <c r="C2" s="31" t="s">
        <v>1</v>
      </c>
      <c r="D2" s="31"/>
      <c r="E2" s="31"/>
    </row>
    <row r="4" spans="1:34" ht="19.5" x14ac:dyDescent="0.45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" x14ac:dyDescent="0.6">
      <c r="A6" s="42" t="s">
        <v>0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</row>
    <row r="8" spans="1:34" ht="19.5" x14ac:dyDescent="0.45">
      <c r="A8" s="1" t="s">
        <v>12</v>
      </c>
      <c r="B8" s="31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</row>
    <row r="9" spans="1:34" ht="19.5" x14ac:dyDescent="0.45">
      <c r="A9" s="1" t="s">
        <v>13</v>
      </c>
      <c r="B9" s="31" t="s">
        <v>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</row>
    <row r="10" spans="1:34" ht="19.5" x14ac:dyDescent="0.45">
      <c r="A10" s="1" t="s">
        <v>14</v>
      </c>
      <c r="B10" s="31" t="s">
        <v>10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</row>
    <row r="11" spans="1:34" ht="19.5" x14ac:dyDescent="0.45">
      <c r="A11" s="1" t="s">
        <v>15</v>
      </c>
      <c r="B11" s="31" t="s">
        <v>11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</row>
    <row r="12" spans="1:34" ht="19.5" x14ac:dyDescent="0.45">
      <c r="A12" s="1" t="s">
        <v>16</v>
      </c>
      <c r="B12" s="31">
        <v>2023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</row>
    <row r="16" spans="1:34" ht="19.5" x14ac:dyDescent="0.45">
      <c r="F16" s="40" t="s">
        <v>17</v>
      </c>
      <c r="G16" s="41"/>
      <c r="H16" s="39">
        <f>AH34</f>
        <v>184</v>
      </c>
      <c r="I16" s="39"/>
      <c r="K16" s="40" t="s">
        <v>18</v>
      </c>
      <c r="L16" s="41"/>
      <c r="M16" s="41"/>
      <c r="N16" s="41"/>
      <c r="O16" s="41"/>
      <c r="P16" s="39">
        <f>AH26</f>
        <v>184</v>
      </c>
      <c r="Q16" s="39"/>
      <c r="S16" s="40" t="s">
        <v>19</v>
      </c>
      <c r="T16" s="41"/>
      <c r="U16" s="41"/>
      <c r="V16" s="41"/>
      <c r="W16" s="41"/>
      <c r="X16" s="39">
        <f>(P16/8) *1</f>
        <v>23</v>
      </c>
      <c r="Y16" s="39"/>
    </row>
    <row r="19" spans="1:35" ht="19.5" x14ac:dyDescent="0.45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6" t="s">
        <v>36</v>
      </c>
      <c r="AI19" s="17" t="s">
        <v>37</v>
      </c>
    </row>
    <row r="20" spans="1:35" ht="19.5" x14ac:dyDescent="0.45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8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16"/>
      <c r="AI20" s="19"/>
    </row>
    <row r="21" spans="1:35" ht="19.5" x14ac:dyDescent="0.45">
      <c r="A21" s="31" t="s">
        <v>38</v>
      </c>
      <c r="B21" s="31"/>
      <c r="C21" s="35"/>
      <c r="D21" s="35"/>
      <c r="E21" s="35"/>
      <c r="F21" s="37"/>
      <c r="G21" s="37"/>
      <c r="H21" s="35"/>
      <c r="I21" s="35"/>
      <c r="J21" s="35"/>
      <c r="K21" s="35"/>
      <c r="L21" s="35"/>
      <c r="M21" s="37"/>
      <c r="N21" s="37"/>
      <c r="O21" s="35"/>
      <c r="P21" s="35"/>
      <c r="Q21" s="35"/>
      <c r="R21" s="38"/>
      <c r="S21" s="35"/>
      <c r="T21" s="37"/>
      <c r="U21" s="37"/>
      <c r="V21" s="35"/>
      <c r="W21" s="35"/>
      <c r="X21" s="35"/>
      <c r="Y21" s="35"/>
      <c r="Z21" s="35"/>
      <c r="AA21" s="37"/>
      <c r="AB21" s="37"/>
      <c r="AC21" s="35"/>
      <c r="AD21" s="35"/>
      <c r="AE21" s="35"/>
      <c r="AF21" s="35"/>
      <c r="AG21" s="35"/>
      <c r="AH21" s="35"/>
      <c r="AI21" s="36"/>
    </row>
    <row r="22" spans="1:35" ht="19.5" x14ac:dyDescent="0.45">
      <c r="A22" s="32" t="s">
        <v>39</v>
      </c>
      <c r="B22" s="32"/>
      <c r="C22" s="35"/>
      <c r="D22" s="35"/>
      <c r="E22" s="35"/>
      <c r="F22" s="37"/>
      <c r="G22" s="37"/>
      <c r="H22" s="35"/>
      <c r="I22" s="35"/>
      <c r="J22" s="35"/>
      <c r="K22" s="35"/>
      <c r="L22" s="35"/>
      <c r="M22" s="37"/>
      <c r="N22" s="37"/>
      <c r="O22" s="35"/>
      <c r="P22" s="35"/>
      <c r="Q22" s="35"/>
      <c r="R22" s="38"/>
      <c r="S22" s="35"/>
      <c r="T22" s="37"/>
      <c r="U22" s="37"/>
      <c r="V22" s="35"/>
      <c r="W22" s="35"/>
      <c r="X22" s="35"/>
      <c r="Y22" s="35"/>
      <c r="Z22" s="35"/>
      <c r="AA22" s="37"/>
      <c r="AB22" s="37"/>
      <c r="AC22" s="35"/>
      <c r="AD22" s="35"/>
      <c r="AE22" s="35"/>
      <c r="AF22" s="35"/>
      <c r="AG22" s="35"/>
      <c r="AH22" s="35"/>
      <c r="AI22" s="36"/>
    </row>
    <row r="23" spans="1:35" ht="19.5" x14ac:dyDescent="0.45">
      <c r="A23" s="11" t="s">
        <v>40</v>
      </c>
      <c r="B23" s="11" t="s">
        <v>41</v>
      </c>
      <c r="C23" s="3">
        <f>8-C22</f>
        <v>8</v>
      </c>
      <c r="D23" s="3">
        <f>8-D22</f>
        <v>8</v>
      </c>
      <c r="E23" s="3">
        <f>8-E22</f>
        <v>8</v>
      </c>
      <c r="F23" s="6"/>
      <c r="G23" s="6"/>
      <c r="H23" s="3">
        <f>8-H22</f>
        <v>8</v>
      </c>
      <c r="I23" s="3">
        <f>8-I22</f>
        <v>8</v>
      </c>
      <c r="J23" s="3">
        <f>8-J22</f>
        <v>8</v>
      </c>
      <c r="K23" s="3">
        <f>8-K22</f>
        <v>8</v>
      </c>
      <c r="L23" s="3">
        <f>8-L22</f>
        <v>8</v>
      </c>
      <c r="M23" s="6"/>
      <c r="N23" s="6"/>
      <c r="O23" s="3">
        <f>8-O22</f>
        <v>8</v>
      </c>
      <c r="P23" s="3">
        <f>8-P22</f>
        <v>8</v>
      </c>
      <c r="Q23" s="3">
        <f>8-Q22</f>
        <v>8</v>
      </c>
      <c r="R23" s="9"/>
      <c r="S23" s="3">
        <v>8</v>
      </c>
      <c r="T23" s="6"/>
      <c r="U23" s="6"/>
      <c r="V23" s="3">
        <f>8-V22</f>
        <v>8</v>
      </c>
      <c r="W23" s="3">
        <f>8-W22</f>
        <v>8</v>
      </c>
      <c r="X23" s="3">
        <f>8-X22</f>
        <v>8</v>
      </c>
      <c r="Y23" s="3">
        <v>2</v>
      </c>
      <c r="Z23" s="3"/>
      <c r="AA23" s="6"/>
      <c r="AB23" s="6"/>
      <c r="AC23" s="3"/>
      <c r="AD23" s="3"/>
      <c r="AE23" s="3"/>
      <c r="AF23" s="3"/>
      <c r="AG23" s="3"/>
      <c r="AH23" s="3">
        <f>SUM(C23:AG23)</f>
        <v>122</v>
      </c>
      <c r="AI23" s="49">
        <f>AH23/$AH$35</f>
        <v>0.66304347826086951</v>
      </c>
    </row>
    <row r="24" spans="1:35" ht="19.5" x14ac:dyDescent="0.45">
      <c r="A24" s="11" t="s">
        <v>42</v>
      </c>
      <c r="B24" s="11" t="s">
        <v>43</v>
      </c>
      <c r="C24" s="3"/>
      <c r="D24" s="3"/>
      <c r="E24" s="3"/>
      <c r="F24" s="6"/>
      <c r="G24" s="6"/>
      <c r="H24" s="3"/>
      <c r="I24" s="3"/>
      <c r="J24" s="3"/>
      <c r="K24" s="3"/>
      <c r="L24" s="3"/>
      <c r="M24" s="6"/>
      <c r="N24" s="6"/>
      <c r="O24" s="3"/>
      <c r="P24" s="3"/>
      <c r="Q24" s="3"/>
      <c r="R24" s="9">
        <v>8</v>
      </c>
      <c r="S24" s="3"/>
      <c r="T24" s="6"/>
      <c r="U24" s="6"/>
      <c r="V24" s="3"/>
      <c r="W24" s="3"/>
      <c r="X24" s="3"/>
      <c r="Y24" s="3"/>
      <c r="Z24" s="3"/>
      <c r="AA24" s="6"/>
      <c r="AB24" s="6"/>
      <c r="AC24" s="3"/>
      <c r="AD24" s="3"/>
      <c r="AE24" s="3"/>
      <c r="AF24" s="3"/>
      <c r="AG24" s="3"/>
      <c r="AH24" s="3">
        <f>SUM(C24:AG24)</f>
        <v>8</v>
      </c>
      <c r="AI24" s="49">
        <f>AH24/$AH$35</f>
        <v>4.3478260869565216E-2</v>
      </c>
    </row>
    <row r="25" spans="1:35" ht="19.5" x14ac:dyDescent="0.45">
      <c r="A25" s="11" t="s">
        <v>44</v>
      </c>
      <c r="B25" s="11" t="s">
        <v>45</v>
      </c>
      <c r="C25" s="3"/>
      <c r="D25" s="3"/>
      <c r="E25" s="3"/>
      <c r="F25" s="6"/>
      <c r="G25" s="6"/>
      <c r="H25" s="3"/>
      <c r="I25" s="3"/>
      <c r="J25" s="3"/>
      <c r="K25" s="3"/>
      <c r="L25" s="3"/>
      <c r="M25" s="6"/>
      <c r="N25" s="6"/>
      <c r="O25" s="3"/>
      <c r="P25" s="3"/>
      <c r="Q25" s="3"/>
      <c r="R25" s="9"/>
      <c r="S25" s="3"/>
      <c r="T25" s="6"/>
      <c r="U25" s="6"/>
      <c r="V25" s="3"/>
      <c r="W25" s="3"/>
      <c r="X25" s="3"/>
      <c r="Y25" s="3">
        <v>6</v>
      </c>
      <c r="Z25" s="3">
        <f>8-Z24</f>
        <v>8</v>
      </c>
      <c r="AA25" s="6"/>
      <c r="AB25" s="6"/>
      <c r="AC25" s="3">
        <f>8-AC24</f>
        <v>8</v>
      </c>
      <c r="AD25" s="3">
        <f>8-AD24</f>
        <v>8</v>
      </c>
      <c r="AE25" s="3">
        <f>8-AE24</f>
        <v>8</v>
      </c>
      <c r="AF25" s="3">
        <f>8-AF24</f>
        <v>8</v>
      </c>
      <c r="AG25" s="3">
        <f>8-AG24</f>
        <v>8</v>
      </c>
      <c r="AH25" s="3">
        <f>SUM(C25:AG25)</f>
        <v>54</v>
      </c>
      <c r="AI25" s="49">
        <f>AH25/$AH$35</f>
        <v>0.29347826086956524</v>
      </c>
    </row>
    <row r="26" spans="1:35" ht="19.5" x14ac:dyDescent="0.45">
      <c r="A26" s="33" t="s">
        <v>46</v>
      </c>
      <c r="B26" s="34"/>
      <c r="C26" s="4">
        <f>SUM(C23:C25)</f>
        <v>8</v>
      </c>
      <c r="D26" s="4">
        <f>SUM(D23:D25)</f>
        <v>8</v>
      </c>
      <c r="E26" s="4">
        <f>SUM(E23:E25)</f>
        <v>8</v>
      </c>
      <c r="F26" s="7"/>
      <c r="G26" s="7"/>
      <c r="H26" s="4">
        <f>SUM(H23:H25)</f>
        <v>8</v>
      </c>
      <c r="I26" s="4">
        <f>SUM(I23:I25)</f>
        <v>8</v>
      </c>
      <c r="J26" s="4">
        <f>SUM(J23:J25)</f>
        <v>8</v>
      </c>
      <c r="K26" s="4">
        <f>SUM(K23:K25)</f>
        <v>8</v>
      </c>
      <c r="L26" s="4">
        <f>SUM(L23:L25)</f>
        <v>8</v>
      </c>
      <c r="M26" s="7"/>
      <c r="N26" s="7"/>
      <c r="O26" s="4">
        <f>SUM(O23:O25)</f>
        <v>8</v>
      </c>
      <c r="P26" s="4">
        <f>SUM(P23:P25)</f>
        <v>8</v>
      </c>
      <c r="Q26" s="4">
        <f>SUM(Q23:Q25)</f>
        <v>8</v>
      </c>
      <c r="R26" s="10">
        <f>SUM(R23:R25)</f>
        <v>8</v>
      </c>
      <c r="S26" s="4">
        <f>SUM(S23:S25)</f>
        <v>8</v>
      </c>
      <c r="T26" s="7"/>
      <c r="U26" s="7"/>
      <c r="V26" s="4">
        <f>SUM(V23:V25)</f>
        <v>8</v>
      </c>
      <c r="W26" s="4">
        <f>SUM(W23:W25)</f>
        <v>8</v>
      </c>
      <c r="X26" s="4">
        <f>SUM(X23:X25)</f>
        <v>8</v>
      </c>
      <c r="Y26" s="4">
        <f>SUM(Y23:Y25)</f>
        <v>8</v>
      </c>
      <c r="Z26" s="4">
        <f>SUM(Z23:Z25)</f>
        <v>8</v>
      </c>
      <c r="AA26" s="7"/>
      <c r="AB26" s="7"/>
      <c r="AC26" s="4">
        <f t="shared" ref="AC26:AH26" si="0">SUM(AC23:AC25)</f>
        <v>8</v>
      </c>
      <c r="AD26" s="4">
        <f t="shared" si="0"/>
        <v>8</v>
      </c>
      <c r="AE26" s="4">
        <f t="shared" si="0"/>
        <v>8</v>
      </c>
      <c r="AF26" s="4">
        <f t="shared" si="0"/>
        <v>8</v>
      </c>
      <c r="AG26" s="4">
        <f t="shared" si="0"/>
        <v>8</v>
      </c>
      <c r="AH26" s="4">
        <f t="shared" si="0"/>
        <v>184</v>
      </c>
      <c r="AI26" s="13">
        <f>AH26/$AH$35</f>
        <v>1</v>
      </c>
    </row>
    <row r="27" spans="1:35" ht="19.5" x14ac:dyDescent="0.45">
      <c r="A27" s="30" t="s">
        <v>47</v>
      </c>
      <c r="B27" s="30"/>
      <c r="C27" s="3">
        <f>8-C26</f>
        <v>0</v>
      </c>
      <c r="D27" s="3">
        <f>8-D26</f>
        <v>0</v>
      </c>
      <c r="E27" s="3">
        <f>8-E26</f>
        <v>0</v>
      </c>
      <c r="F27" s="6"/>
      <c r="G27" s="6"/>
      <c r="H27" s="3">
        <f>8-H26</f>
        <v>0</v>
      </c>
      <c r="I27" s="3">
        <f>8-I26</f>
        <v>0</v>
      </c>
      <c r="J27" s="3">
        <f>8-J26</f>
        <v>0</v>
      </c>
      <c r="K27" s="3">
        <f>8-K26</f>
        <v>0</v>
      </c>
      <c r="L27" s="3">
        <f>8-L26</f>
        <v>0</v>
      </c>
      <c r="M27" s="6"/>
      <c r="N27" s="6"/>
      <c r="O27" s="3">
        <f>8-O26</f>
        <v>0</v>
      </c>
      <c r="P27" s="3">
        <f>8-P26</f>
        <v>0</v>
      </c>
      <c r="Q27" s="3">
        <f>8-Q26</f>
        <v>0</v>
      </c>
      <c r="R27" s="9">
        <f>8-R26</f>
        <v>0</v>
      </c>
      <c r="S27" s="3">
        <f>8-S26</f>
        <v>0</v>
      </c>
      <c r="T27" s="6"/>
      <c r="U27" s="6"/>
      <c r="V27" s="3">
        <f>8-V26</f>
        <v>0</v>
      </c>
      <c r="W27" s="3">
        <f>8-W26</f>
        <v>0</v>
      </c>
      <c r="X27" s="3">
        <f>8-X26</f>
        <v>0</v>
      </c>
      <c r="Y27" s="3">
        <f>8-Y26</f>
        <v>0</v>
      </c>
      <c r="Z27" s="3">
        <f>8-Z26</f>
        <v>0</v>
      </c>
      <c r="AA27" s="6"/>
      <c r="AB27" s="6"/>
      <c r="AC27" s="3">
        <f>8-AC26</f>
        <v>0</v>
      </c>
      <c r="AD27" s="3">
        <f>8-AD26</f>
        <v>0</v>
      </c>
      <c r="AE27" s="3">
        <f>8-AE26</f>
        <v>0</v>
      </c>
      <c r="AF27" s="3">
        <f>8-AF26</f>
        <v>0</v>
      </c>
      <c r="AG27" s="3">
        <f>8-AG26</f>
        <v>0</v>
      </c>
      <c r="AH27" s="3">
        <f t="shared" ref="AH27:AH33" si="1">SUM(C27:AG27)</f>
        <v>0</v>
      </c>
    </row>
    <row r="28" spans="1:35" ht="19.5" x14ac:dyDescent="0.45">
      <c r="A28" s="30"/>
      <c r="B28" s="30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9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45">
      <c r="A29" s="30"/>
      <c r="B29" s="30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9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45">
      <c r="A30" s="30"/>
      <c r="B30" s="30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9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45">
      <c r="A31" s="30" t="s">
        <v>48</v>
      </c>
      <c r="B31" s="30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9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45">
      <c r="A32" s="30" t="s">
        <v>49</v>
      </c>
      <c r="B32" s="30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9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45">
      <c r="A33" s="30" t="s">
        <v>50</v>
      </c>
      <c r="B33" s="30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9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45">
      <c r="A34" s="11" t="s">
        <v>51</v>
      </c>
      <c r="B34" s="11"/>
      <c r="C34" s="4">
        <f>SUM(C26:C30)</f>
        <v>8</v>
      </c>
      <c r="D34" s="4">
        <f>SUM(D26:D30)</f>
        <v>8</v>
      </c>
      <c r="E34" s="4">
        <f>SUM(E26:E30)</f>
        <v>8</v>
      </c>
      <c r="F34" s="7"/>
      <c r="G34" s="7"/>
      <c r="H34" s="4">
        <f>SUM(H26:H30)</f>
        <v>8</v>
      </c>
      <c r="I34" s="4">
        <f>SUM(I26:I30)</f>
        <v>8</v>
      </c>
      <c r="J34" s="4">
        <f>SUM(J26:J30)</f>
        <v>8</v>
      </c>
      <c r="K34" s="4">
        <f>SUM(K26:K30)</f>
        <v>8</v>
      </c>
      <c r="L34" s="4">
        <f>SUM(L26:L30)</f>
        <v>8</v>
      </c>
      <c r="M34" s="7"/>
      <c r="N34" s="7"/>
      <c r="O34" s="4">
        <f>SUM(O26:O30)</f>
        <v>8</v>
      </c>
      <c r="P34" s="4">
        <f>SUM(P26:P30)</f>
        <v>8</v>
      </c>
      <c r="Q34" s="4">
        <f>SUM(Q26:Q30)</f>
        <v>8</v>
      </c>
      <c r="R34" s="10">
        <f>SUM(R26:R30)</f>
        <v>8</v>
      </c>
      <c r="S34" s="4">
        <f>SUM(S26:S30)</f>
        <v>8</v>
      </c>
      <c r="T34" s="7"/>
      <c r="U34" s="7"/>
      <c r="V34" s="4">
        <f>SUM(V26:V30)</f>
        <v>8</v>
      </c>
      <c r="W34" s="4">
        <f>SUM(W26:W30)</f>
        <v>8</v>
      </c>
      <c r="X34" s="4">
        <f>SUM(X26:X30)</f>
        <v>8</v>
      </c>
      <c r="Y34" s="4">
        <f>SUM(Y26:Y30)</f>
        <v>8</v>
      </c>
      <c r="Z34" s="4">
        <f>SUM(Z26:Z30)</f>
        <v>8</v>
      </c>
      <c r="AA34" s="7"/>
      <c r="AB34" s="7"/>
      <c r="AC34" s="4">
        <f t="shared" ref="AC34:AH34" si="2">SUM(AC26:AC30)</f>
        <v>8</v>
      </c>
      <c r="AD34" s="4">
        <f t="shared" si="2"/>
        <v>8</v>
      </c>
      <c r="AE34" s="4">
        <f t="shared" si="2"/>
        <v>8</v>
      </c>
      <c r="AF34" s="4">
        <f t="shared" si="2"/>
        <v>8</v>
      </c>
      <c r="AG34" s="4">
        <f t="shared" si="2"/>
        <v>8</v>
      </c>
      <c r="AH34" s="4">
        <f t="shared" si="2"/>
        <v>184</v>
      </c>
    </row>
    <row r="35" spans="1:34" ht="19.5" x14ac:dyDescent="0.45">
      <c r="A35" s="11" t="s">
        <v>52</v>
      </c>
      <c r="B35" s="1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2">
        <f>SUM(AH31:AH34)</f>
        <v>184</v>
      </c>
    </row>
    <row r="38" spans="1:34" x14ac:dyDescent="0.35">
      <c r="A38" s="17" t="s">
        <v>53</v>
      </c>
      <c r="B38" s="17" t="s">
        <v>54</v>
      </c>
      <c r="W38" s="20" t="s">
        <v>56</v>
      </c>
      <c r="X38" s="21"/>
      <c r="Y38" s="21"/>
      <c r="Z38" s="21"/>
      <c r="AA38" s="22"/>
      <c r="AB38" s="20" t="s">
        <v>9</v>
      </c>
      <c r="AC38" s="21"/>
      <c r="AD38" s="21"/>
      <c r="AE38" s="22"/>
    </row>
    <row r="39" spans="1:34" ht="42" customHeight="1" x14ac:dyDescent="0.35">
      <c r="A39" s="18"/>
      <c r="B39" s="18"/>
      <c r="W39" s="23"/>
      <c r="X39" s="24"/>
      <c r="Y39" s="24"/>
      <c r="Z39" s="24"/>
      <c r="AA39" s="25"/>
      <c r="AB39" s="23"/>
      <c r="AC39" s="24"/>
      <c r="AD39" s="24"/>
      <c r="AE39" s="25"/>
    </row>
    <row r="40" spans="1:34" ht="19.5" x14ac:dyDescent="0.35">
      <c r="A40" s="19"/>
      <c r="B40" s="12" t="s">
        <v>55</v>
      </c>
      <c r="W40" s="26"/>
      <c r="X40" s="27"/>
      <c r="Y40" s="27"/>
      <c r="Z40" s="27"/>
      <c r="AA40" s="28"/>
      <c r="AB40" s="29" t="s">
        <v>57</v>
      </c>
      <c r="AC40" s="27"/>
      <c r="AD40" s="27"/>
      <c r="AE40" s="28"/>
    </row>
    <row r="42" spans="1:34" ht="19.5" x14ac:dyDescent="0.35">
      <c r="A42" s="14" t="s">
        <v>58</v>
      </c>
      <c r="B42" s="15"/>
    </row>
    <row r="43" spans="1:34" ht="19.5" x14ac:dyDescent="0.45">
      <c r="A43" s="2" t="s">
        <v>59</v>
      </c>
      <c r="B43" s="2" t="s">
        <v>60</v>
      </c>
      <c r="C43" s="2" t="s">
        <v>61</v>
      </c>
      <c r="D43" s="2" t="s">
        <v>62</v>
      </c>
      <c r="E43" s="2" t="s">
        <v>63</v>
      </c>
    </row>
    <row r="44" spans="1:34" x14ac:dyDescent="0.35">
      <c r="A44" t="s">
        <v>64</v>
      </c>
      <c r="B44" t="s">
        <v>66</v>
      </c>
      <c r="C44">
        <v>100</v>
      </c>
      <c r="D44" t="s">
        <v>65</v>
      </c>
      <c r="E44" t="s">
        <v>65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A42:B42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De Haro Clota</cp:lastModifiedBy>
  <dcterms:created xsi:type="dcterms:W3CDTF">2024-02-12T12:00:17Z</dcterms:created>
  <dcterms:modified xsi:type="dcterms:W3CDTF">2024-09-02T11:44:12Z</dcterms:modified>
  <cp:category/>
</cp:coreProperties>
</file>