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duardo Javier Perez Sanchez\"/>
    </mc:Choice>
  </mc:AlternateContent>
  <xr:revisionPtr revIDLastSave="0" documentId="13_ncr:1_{C689D5C6-9846-485B-9342-4A099A8D05E4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C26" i="1"/>
  <c r="AB26" i="1"/>
  <c r="AB27" i="1" s="1"/>
  <c r="AB34" i="1" s="1"/>
  <c r="AA26" i="1"/>
  <c r="Z26" i="1"/>
  <c r="Z27" i="1" s="1"/>
  <c r="Z34" i="1" s="1"/>
  <c r="Y26" i="1"/>
  <c r="Y27" i="1" s="1"/>
  <c r="Y34" i="1" s="1"/>
  <c r="V26" i="1"/>
  <c r="V27" i="1" s="1"/>
  <c r="V34" i="1" s="1"/>
  <c r="U26" i="1"/>
  <c r="U27" i="1" s="1"/>
  <c r="U34" i="1" s="1"/>
  <c r="T26" i="1"/>
  <c r="S26" i="1"/>
  <c r="S27" i="1" s="1"/>
  <c r="R26" i="1"/>
  <c r="R27" i="1" s="1"/>
  <c r="R34" i="1" s="1"/>
  <c r="O26" i="1"/>
  <c r="M26" i="1"/>
  <c r="L26" i="1"/>
  <c r="K26" i="1"/>
  <c r="K27" i="1" s="1"/>
  <c r="K34" i="1" s="1"/>
  <c r="H26" i="1"/>
  <c r="G26" i="1"/>
  <c r="G27" i="1" s="1"/>
  <c r="G34" i="1" s="1"/>
  <c r="F26" i="1"/>
  <c r="F27" i="1" s="1"/>
  <c r="F34" i="1" s="1"/>
  <c r="E26" i="1"/>
  <c r="E27" i="1" s="1"/>
  <c r="E34" i="1" s="1"/>
  <c r="D26" i="1"/>
  <c r="D27" i="1" s="1"/>
  <c r="AH25" i="1"/>
  <c r="AH24" i="1"/>
  <c r="AH23" i="1"/>
  <c r="AH26" i="1" l="1"/>
  <c r="P16" i="1" s="1"/>
  <c r="X16" i="1" s="1"/>
  <c r="M27" i="1"/>
  <c r="M34" i="1" s="1"/>
  <c r="D34" i="1"/>
  <c r="T27" i="1"/>
  <c r="T34" i="1" s="1"/>
  <c r="S34" i="1"/>
  <c r="H27" i="1"/>
  <c r="AA27" i="1"/>
  <c r="AA34" i="1" s="1"/>
  <c r="L27" i="1"/>
  <c r="L34" i="1" s="1"/>
  <c r="AC27" i="1"/>
  <c r="AC34" i="1" s="1"/>
  <c r="O27" i="1"/>
  <c r="O34" i="1" s="1"/>
  <c r="AH27" i="1" l="1"/>
  <c r="AH34" i="1" s="1"/>
  <c r="AH35" i="1" s="1"/>
  <c r="H34" i="1"/>
  <c r="H16" i="1" l="1"/>
  <c r="AI23" i="1"/>
  <c r="AI24" i="1"/>
  <c r="AI25" i="1"/>
  <c r="AI26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<sst xmlns="http://schemas.openxmlformats.org/spreadsheetml/2006/main" count="83" uniqueCount="57">
  <si>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</si>
  <si>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</si>
  <si>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</si>
  <si>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</si>
  <si>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</si>
  <si>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</si>
  <si>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</si>
  <si>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</si>
  <si>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</si>
  <si>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</si>
  <si>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</si>
  <si>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</si>
  <si>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</si>
  <si>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</si>
  <si>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</si>
  <si>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</si>
  <si>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</si>
  <si>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</si>
  <si>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</si>
  <si>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</si>
  <si>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</si>
  <si>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</si>
  <si>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</si>
  <si>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</si>
  <si>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</si>
  <si>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</si>
  <si>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</si>
  <si>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</si>
  <si>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</si>
  <si>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</si>
  <si>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</si>
  <si>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</si>
  <si>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</si>
  <si>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</si>
  <si>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</si>
  <si>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</si>
  <si>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</si>
  <si>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</si>
  <si>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</si>
  <si>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</si>
  <si>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PE119600 INDIGO - WP1 Aircraft concept generation and requirement for airport LAQN</t>
  </si>
  <si>
    <t>Dedicacion: 25% Estimated:35.625 h</t>
  </si>
  <si>
    <t>PE115500 HyInHeat - WP2 Modification and redesign of equipment and processes</t>
  </si>
  <si>
    <t>Dedicacion: 60% Estimated:85.5 h</t>
  </si>
  <si>
    <t>PN033400 INTERFACE - WP1 WP1</t>
  </si>
  <si>
    <t>Dedicacion: 15% Estimated:21.375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</si>
  <si>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</si>
  <si>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</si>
  <si>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</si>
  <si>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</si>
  <si>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</si>
  <si>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</si>
  <si>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</si>
  <si>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</si>
  <si>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</si>
  <si>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2023-11-02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</si>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</sst>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55" zoomScaleNormal="55" workbookViewId="0">
      <selection activeCell="U46" sqref="U46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0" t="s">
        <v>1</v>
      </c>
      <c r="D2" s="20"/>
      <c r="E2" s="20"/>
    </row>
    <row r="4" spans="1:34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45">
      <c r="F16" s="27" t="s">
        <v>17</v>
      </c>
      <c r="G16" s="19"/>
      <c r="H16" s="28">
        <f>AH34</f>
        <v>142.5</v>
      </c>
      <c r="I16" s="28"/>
      <c r="K16" s="27" t="s">
        <v>18</v>
      </c>
      <c r="L16" s="19"/>
      <c r="M16" s="19"/>
      <c r="N16" s="19"/>
      <c r="O16" s="19"/>
      <c r="P16" s="28">
        <f>AH26</f>
        <v>142.5</v>
      </c>
      <c r="Q16" s="28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11" t="s">
        <v>22</v>
      </c>
      <c r="AG19" s="11" t="s">
        <v>24</v>
      </c>
      <c r="AH19" s="33" t="s">
        <v>36</v>
      </c>
      <c r="AI19" s="34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11">
        <v>30</v>
      </c>
      <c r="AG20" s="11">
        <v>31</v>
      </c>
      <c r="AH20" s="33"/>
      <c r="AI20" s="35"/>
    </row>
    <row r="21" spans="1:35" ht="19.5" x14ac:dyDescent="0.45">
      <c r="A21" s="20" t="s">
        <v>38</v>
      </c>
      <c r="B21" s="20"/>
      <c r="C21" s="29"/>
      <c r="D21" s="30"/>
      <c r="E21" s="30"/>
      <c r="F21" s="30"/>
      <c r="G21" s="30"/>
      <c r="H21" s="30"/>
      <c r="I21" s="29"/>
      <c r="J21" s="29"/>
      <c r="K21" s="30"/>
      <c r="L21" s="30"/>
      <c r="M21" s="30"/>
      <c r="N21" s="31"/>
      <c r="O21" s="30"/>
      <c r="P21" s="29"/>
      <c r="Q21" s="29"/>
      <c r="R21" s="30"/>
      <c r="S21" s="30"/>
      <c r="T21" s="30"/>
      <c r="U21" s="30"/>
      <c r="V21" s="30"/>
      <c r="W21" s="29"/>
      <c r="X21" s="29"/>
      <c r="Y21" s="30"/>
      <c r="Z21" s="30"/>
      <c r="AA21" s="30"/>
      <c r="AB21" s="30"/>
      <c r="AC21" s="30"/>
      <c r="AD21" s="29"/>
      <c r="AE21" s="29"/>
      <c r="AF21" s="32"/>
      <c r="AG21" s="32"/>
      <c r="AH21" s="30"/>
      <c r="AI21" s="36"/>
    </row>
    <row r="22" spans="1:35" ht="19.5" x14ac:dyDescent="0.45">
      <c r="A22" s="37" t="s">
        <v>39</v>
      </c>
      <c r="B22" s="37"/>
      <c r="C22" s="29"/>
      <c r="D22" s="30"/>
      <c r="E22" s="30"/>
      <c r="F22" s="30"/>
      <c r="G22" s="30"/>
      <c r="H22" s="30"/>
      <c r="I22" s="29"/>
      <c r="J22" s="29"/>
      <c r="K22" s="30"/>
      <c r="L22" s="30"/>
      <c r="M22" s="30"/>
      <c r="N22" s="31"/>
      <c r="O22" s="30"/>
      <c r="P22" s="29"/>
      <c r="Q22" s="29"/>
      <c r="R22" s="30"/>
      <c r="S22" s="30"/>
      <c r="T22" s="30"/>
      <c r="U22" s="30"/>
      <c r="V22" s="30"/>
      <c r="W22" s="29"/>
      <c r="X22" s="29"/>
      <c r="Y22" s="30"/>
      <c r="Z22" s="30"/>
      <c r="AA22" s="30"/>
      <c r="AB22" s="30"/>
      <c r="AC22" s="30"/>
      <c r="AD22" s="29"/>
      <c r="AE22" s="29"/>
      <c r="AF22" s="32"/>
      <c r="AG22" s="32"/>
      <c r="AH22" s="30"/>
      <c r="AI22" s="36"/>
    </row>
    <row r="23" spans="1:35" ht="19.5" x14ac:dyDescent="0.45">
      <c r="A23" s="15" t="s">
        <v>40</v>
      </c>
      <c r="B23" s="15" t="s">
        <v>41</v>
      </c>
      <c r="C23" s="6"/>
      <c r="D23" s="3">
        <v>0</v>
      </c>
      <c r="E23" s="3">
        <v>0</v>
      </c>
      <c r="F23" s="3">
        <v>0</v>
      </c>
      <c r="G23" s="3">
        <v>5</v>
      </c>
      <c r="H23" s="3">
        <v>4</v>
      </c>
      <c r="I23" s="6"/>
      <c r="J23" s="6"/>
      <c r="K23" s="3">
        <v>0</v>
      </c>
      <c r="L23" s="3">
        <v>0</v>
      </c>
      <c r="M23" s="3">
        <v>0</v>
      </c>
      <c r="N23" s="9"/>
      <c r="O23" s="3">
        <v>5</v>
      </c>
      <c r="P23" s="6"/>
      <c r="Q23" s="6"/>
      <c r="R23" s="3">
        <v>0</v>
      </c>
      <c r="S23" s="3">
        <v>0</v>
      </c>
      <c r="T23" s="3">
        <v>4.5</v>
      </c>
      <c r="U23" s="3">
        <v>5</v>
      </c>
      <c r="V23" s="3">
        <v>4</v>
      </c>
      <c r="W23" s="6"/>
      <c r="X23" s="6"/>
      <c r="Y23" s="3">
        <v>0</v>
      </c>
      <c r="Z23" s="3">
        <v>0</v>
      </c>
      <c r="AA23" s="3">
        <v>0</v>
      </c>
      <c r="AB23" s="3">
        <v>4</v>
      </c>
      <c r="AC23" s="3">
        <v>4</v>
      </c>
      <c r="AD23" s="6"/>
      <c r="AE23" s="6"/>
      <c r="AF23" s="12"/>
      <c r="AG23" s="12"/>
      <c r="AH23" s="3">
        <f>SUM(C23:AG23)</f>
        <v>35.5</v>
      </c>
      <c r="AI23" s="16">
        <f>AH23/$AH$35</f>
        <v>0.24912280701754386</v>
      </c>
    </row>
    <row r="24" spans="1:35" ht="19.5" x14ac:dyDescent="0.45">
      <c r="A24" s="15" t="s">
        <v>42</v>
      </c>
      <c r="B24" s="15" t="s">
        <v>43</v>
      </c>
      <c r="C24" s="6"/>
      <c r="D24" s="3">
        <v>7.5</v>
      </c>
      <c r="E24" s="3">
        <v>7.5</v>
      </c>
      <c r="F24" s="3">
        <v>7.5</v>
      </c>
      <c r="G24" s="3">
        <v>0</v>
      </c>
      <c r="H24" s="3">
        <v>0</v>
      </c>
      <c r="I24" s="6"/>
      <c r="J24" s="6"/>
      <c r="K24" s="3">
        <v>7.5</v>
      </c>
      <c r="L24" s="3">
        <v>7.5</v>
      </c>
      <c r="M24" s="3">
        <v>7.5</v>
      </c>
      <c r="N24" s="9"/>
      <c r="O24" s="3">
        <v>0</v>
      </c>
      <c r="P24" s="6"/>
      <c r="Q24" s="6"/>
      <c r="R24" s="3">
        <v>7.5</v>
      </c>
      <c r="S24" s="3">
        <v>7.5</v>
      </c>
      <c r="T24" s="3">
        <v>3</v>
      </c>
      <c r="U24" s="3">
        <v>0</v>
      </c>
      <c r="V24" s="3">
        <v>0</v>
      </c>
      <c r="W24" s="6"/>
      <c r="X24" s="6"/>
      <c r="Y24" s="3">
        <v>7.5</v>
      </c>
      <c r="Z24" s="3">
        <v>7.5</v>
      </c>
      <c r="AA24" s="3">
        <v>7.5</v>
      </c>
      <c r="AB24" s="3">
        <v>0</v>
      </c>
      <c r="AC24" s="3">
        <v>0</v>
      </c>
      <c r="AD24" s="6"/>
      <c r="AE24" s="6"/>
      <c r="AF24" s="12"/>
      <c r="AG24" s="12"/>
      <c r="AH24" s="3">
        <f>SUM(C24:AG24)</f>
        <v>85.5</v>
      </c>
      <c r="AI24" s="16">
        <f>AH24/$AH$35</f>
        <v>0.6</v>
      </c>
    </row>
    <row r="25" spans="1:35" ht="19.5" x14ac:dyDescent="0.45">
      <c r="A25" s="15" t="s">
        <v>44</v>
      </c>
      <c r="B25" s="15" t="s">
        <v>45</v>
      </c>
      <c r="C25" s="6"/>
      <c r="D25" s="3">
        <v>0</v>
      </c>
      <c r="E25" s="3">
        <v>0</v>
      </c>
      <c r="F25" s="3">
        <v>0</v>
      </c>
      <c r="G25" s="3">
        <v>2.5</v>
      </c>
      <c r="H25" s="3">
        <v>3.5</v>
      </c>
      <c r="I25" s="6"/>
      <c r="J25" s="6"/>
      <c r="K25" s="3">
        <v>0</v>
      </c>
      <c r="L25" s="3">
        <v>0</v>
      </c>
      <c r="M25" s="3">
        <v>0</v>
      </c>
      <c r="N25" s="9"/>
      <c r="O25" s="3">
        <v>2.5</v>
      </c>
      <c r="P25" s="6"/>
      <c r="Q25" s="6"/>
      <c r="R25" s="3">
        <v>0</v>
      </c>
      <c r="S25" s="3">
        <v>0</v>
      </c>
      <c r="T25" s="3">
        <v>0</v>
      </c>
      <c r="U25" s="3">
        <v>2.5</v>
      </c>
      <c r="V25" s="3">
        <v>3.5</v>
      </c>
      <c r="W25" s="6"/>
      <c r="X25" s="6"/>
      <c r="Y25" s="3">
        <v>0</v>
      </c>
      <c r="Z25" s="3">
        <v>0</v>
      </c>
      <c r="AA25" s="3">
        <v>0</v>
      </c>
      <c r="AB25" s="3">
        <v>3.5</v>
      </c>
      <c r="AC25" s="3">
        <v>3.5</v>
      </c>
      <c r="AD25" s="6"/>
      <c r="AE25" s="6"/>
      <c r="AF25" s="12"/>
      <c r="AG25" s="12"/>
      <c r="AH25" s="3">
        <f>SUM(C25:AG25)</f>
        <v>21.5</v>
      </c>
      <c r="AI25" s="16">
        <f>AH25/$AH$35</f>
        <v>0.15087719298245614</v>
      </c>
    </row>
    <row r="26" spans="1:35" ht="19.5" x14ac:dyDescent="0.45">
      <c r="A26" s="38" t="s">
        <v>46</v>
      </c>
      <c r="B26" s="39"/>
      <c r="C26" s="7"/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4">
        <f>SUM(H23:H25)</f>
        <v>7.5</v>
      </c>
      <c r="I26" s="7"/>
      <c r="J26" s="7"/>
      <c r="K26" s="4">
        <f>SUM(K23:K25)</f>
        <v>7.5</v>
      </c>
      <c r="L26" s="4">
        <f>SUM(L23:L25)</f>
        <v>7.5</v>
      </c>
      <c r="M26" s="4">
        <f>SUM(M23:M25)</f>
        <v>7.5</v>
      </c>
      <c r="N26" s="10"/>
      <c r="O26" s="4">
        <f>SUM(O23:O25)</f>
        <v>7.5</v>
      </c>
      <c r="P26" s="7"/>
      <c r="Q26" s="7"/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4">
        <f>SUM(V23:V25)</f>
        <v>7.5</v>
      </c>
      <c r="W26" s="7"/>
      <c r="X26" s="7"/>
      <c r="Y26" s="4">
        <f>SUM(Y23:Y25)</f>
        <v>7.5</v>
      </c>
      <c r="Z26" s="4">
        <f>SUM(Z23:Z25)</f>
        <v>7.5</v>
      </c>
      <c r="AA26" s="4">
        <f>SUM(AA23:AA25)</f>
        <v>7.5</v>
      </c>
      <c r="AB26" s="4">
        <f>SUM(AB23:AB25)</f>
        <v>7.5</v>
      </c>
      <c r="AC26" s="4">
        <f>SUM(AC23:AC25)</f>
        <v>7.5</v>
      </c>
      <c r="AD26" s="7"/>
      <c r="AE26" s="7"/>
      <c r="AF26" s="13"/>
      <c r="AG26" s="13"/>
      <c r="AH26" s="4">
        <f>SUM(AH23:AH25)</f>
        <v>142.5</v>
      </c>
      <c r="AI26" s="14">
        <f>AH26/$AH$35</f>
        <v>1</v>
      </c>
    </row>
    <row r="27" spans="1:35" ht="19.5" x14ac:dyDescent="0.45">
      <c r="A27" s="40" t="s">
        <v>47</v>
      </c>
      <c r="B27" s="40"/>
      <c r="C27" s="6"/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3">
        <f>7.5-H26</f>
        <v>0</v>
      </c>
      <c r="I27" s="6"/>
      <c r="J27" s="6"/>
      <c r="K27" s="3">
        <f>7.5-K26</f>
        <v>0</v>
      </c>
      <c r="L27" s="3">
        <f>7.5-L26</f>
        <v>0</v>
      </c>
      <c r="M27" s="3">
        <f>7.5-M26</f>
        <v>0</v>
      </c>
      <c r="N27" s="9"/>
      <c r="O27" s="3">
        <f>7.5-O26</f>
        <v>0</v>
      </c>
      <c r="P27" s="6"/>
      <c r="Q27" s="6"/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3">
        <f>7.5-V26</f>
        <v>0</v>
      </c>
      <c r="W27" s="6"/>
      <c r="X27" s="6"/>
      <c r="Y27" s="3">
        <f>7.5-Y26</f>
        <v>0</v>
      </c>
      <c r="Z27" s="3">
        <f>7.5-Z26</f>
        <v>0</v>
      </c>
      <c r="AA27" s="3">
        <f>7.5-AA26</f>
        <v>0</v>
      </c>
      <c r="AB27" s="3">
        <f>7.5-AB26</f>
        <v>0</v>
      </c>
      <c r="AC27" s="3">
        <f>7.5-AC26</f>
        <v>0</v>
      </c>
      <c r="AD27" s="6"/>
      <c r="AE27" s="6"/>
      <c r="AF27" s="12"/>
      <c r="AG27" s="12"/>
      <c r="AH27" s="3">
        <f t="shared" ref="AH27:AH33" si="0">SUM(C27:AG27)</f>
        <v>0</v>
      </c>
    </row>
    <row r="28" spans="1:35" ht="19.5" x14ac:dyDescent="0.45">
      <c r="A28" s="40"/>
      <c r="B28" s="40"/>
      <c r="C28" s="6"/>
      <c r="D28" s="3"/>
      <c r="E28" s="3"/>
      <c r="F28" s="3"/>
      <c r="G28" s="3"/>
      <c r="H28" s="3"/>
      <c r="I28" s="6"/>
      <c r="J28" s="6"/>
      <c r="K28" s="3"/>
      <c r="L28" s="3"/>
      <c r="M28" s="3"/>
      <c r="N28" s="9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12"/>
      <c r="AG28" s="12"/>
      <c r="AH28" s="3">
        <f t="shared" si="0"/>
        <v>0</v>
      </c>
    </row>
    <row r="29" spans="1:35" ht="19.5" x14ac:dyDescent="0.45">
      <c r="A29" s="40"/>
      <c r="B29" s="40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12"/>
      <c r="AG29" s="12"/>
      <c r="AH29" s="3">
        <f t="shared" si="0"/>
        <v>0</v>
      </c>
    </row>
    <row r="30" spans="1:35" ht="19.5" x14ac:dyDescent="0.45">
      <c r="A30" s="40"/>
      <c r="B30" s="40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12"/>
      <c r="AG30" s="12"/>
      <c r="AH30" s="3">
        <f t="shared" si="0"/>
        <v>0</v>
      </c>
    </row>
    <row r="31" spans="1:35" ht="19.5" x14ac:dyDescent="0.45">
      <c r="A31" s="40" t="s">
        <v>48</v>
      </c>
      <c r="B31" s="40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12"/>
      <c r="AG31" s="12"/>
      <c r="AH31" s="3">
        <f t="shared" si="0"/>
        <v>0</v>
      </c>
    </row>
    <row r="32" spans="1:35" ht="19.5" x14ac:dyDescent="0.45">
      <c r="A32" s="40" t="s">
        <v>49</v>
      </c>
      <c r="B32" s="40"/>
      <c r="C32" s="6"/>
      <c r="D32" s="3"/>
      <c r="E32" s="3"/>
      <c r="F32" s="3"/>
      <c r="G32" s="3"/>
      <c r="H32" s="3"/>
      <c r="I32" s="6"/>
      <c r="J32" s="6"/>
      <c r="K32" s="3"/>
      <c r="L32" s="3"/>
      <c r="M32" s="3"/>
      <c r="N32" s="9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12"/>
      <c r="AG32" s="12"/>
      <c r="AH32" s="3">
        <f t="shared" si="0"/>
        <v>0</v>
      </c>
    </row>
    <row r="33" spans="1:34" ht="19.5" x14ac:dyDescent="0.45">
      <c r="A33" s="40" t="s">
        <v>50</v>
      </c>
      <c r="B33" s="40"/>
      <c r="C33" s="6"/>
      <c r="D33" s="3"/>
      <c r="E33" s="3"/>
      <c r="F33" s="3"/>
      <c r="G33" s="3"/>
      <c r="H33" s="3"/>
      <c r="I33" s="6"/>
      <c r="J33" s="6"/>
      <c r="K33" s="3"/>
      <c r="L33" s="3"/>
      <c r="M33" s="3"/>
      <c r="N33" s="9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12"/>
      <c r="AG33" s="12"/>
      <c r="AH33" s="3">
        <f t="shared" si="0"/>
        <v>0</v>
      </c>
    </row>
    <row r="34" spans="1:34" ht="19.5" x14ac:dyDescent="0.45">
      <c r="A34" s="15" t="s">
        <v>51</v>
      </c>
      <c r="B34" s="15"/>
      <c r="C34" s="7"/>
      <c r="D34" s="4">
        <f>SUM(D26:D30)</f>
        <v>7.5</v>
      </c>
      <c r="E34" s="4">
        <f>SUM(E26:E30)</f>
        <v>7.5</v>
      </c>
      <c r="F34" s="4">
        <f>SUM(F26:F30)</f>
        <v>7.5</v>
      </c>
      <c r="G34" s="4">
        <f>SUM(G26:G30)</f>
        <v>7.5</v>
      </c>
      <c r="H34" s="4">
        <f>SUM(H26:H30)</f>
        <v>7.5</v>
      </c>
      <c r="I34" s="7"/>
      <c r="J34" s="7"/>
      <c r="K34" s="4">
        <f>SUM(K26:K30)</f>
        <v>7.5</v>
      </c>
      <c r="L34" s="4">
        <f>SUM(L26:L30)</f>
        <v>7.5</v>
      </c>
      <c r="M34" s="4">
        <f>SUM(M26:M30)</f>
        <v>7.5</v>
      </c>
      <c r="N34" s="10"/>
      <c r="O34" s="4">
        <f>SUM(O26:O30)</f>
        <v>7.5</v>
      </c>
      <c r="P34" s="7"/>
      <c r="Q34" s="7"/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4">
        <f>SUM(V26:V30)</f>
        <v>7.5</v>
      </c>
      <c r="W34" s="7"/>
      <c r="X34" s="7"/>
      <c r="Y34" s="4">
        <f>SUM(Y26:Y30)</f>
        <v>7.5</v>
      </c>
      <c r="Z34" s="4">
        <f>SUM(Z26:Z30)</f>
        <v>7.5</v>
      </c>
      <c r="AA34" s="4">
        <f>SUM(AA26:AA30)</f>
        <v>7.5</v>
      </c>
      <c r="AB34" s="4">
        <f>SUM(AB26:AB30)</f>
        <v>7.5</v>
      </c>
      <c r="AC34" s="4">
        <f>SUM(AC26:AC30)</f>
        <v>7.5</v>
      </c>
      <c r="AD34" s="7"/>
      <c r="AE34" s="7"/>
      <c r="AF34" s="13"/>
      <c r="AG34" s="13"/>
      <c r="AH34" s="4">
        <f>SUM(AH26:AH30)</f>
        <v>142.5</v>
      </c>
    </row>
    <row r="35" spans="1:34" ht="19.5" x14ac:dyDescent="0.45">
      <c r="A35" s="15" t="s">
        <v>52</v>
      </c>
      <c r="B35" s="1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2">
        <f>SUM(AH31:AH34)</f>
        <v>142.5</v>
      </c>
    </row>
    <row r="38" spans="1:34" x14ac:dyDescent="0.35">
      <c r="A38" s="34" t="s">
        <v>53</v>
      </c>
      <c r="B38" s="34" t="s">
        <v>54</v>
      </c>
      <c r="W38" s="42" t="s">
        <v>56</v>
      </c>
      <c r="X38" s="43"/>
      <c r="Y38" s="43"/>
      <c r="Z38" s="43"/>
      <c r="AA38" s="44"/>
      <c r="AB38" s="42" t="s">
        <v>9</v>
      </c>
      <c r="AC38" s="43"/>
      <c r="AD38" s="43"/>
      <c r="AE38" s="44"/>
    </row>
    <row r="39" spans="1:34" x14ac:dyDescent="0.35">
      <c r="A39" s="41"/>
      <c r="B39" s="41"/>
      <c r="W39" s="45"/>
      <c r="X39" s="46"/>
      <c r="Y39" s="46"/>
      <c r="Z39" s="46"/>
      <c r="AA39" s="47"/>
      <c r="AB39" s="45"/>
      <c r="AC39" s="46"/>
      <c r="AD39" s="46"/>
      <c r="AE39" s="47"/>
    </row>
    <row r="40" spans="1:34" ht="19.5" x14ac:dyDescent="0.35">
      <c r="A40" s="35"/>
      <c r="B40" s="17" t="s">
        <v>55</v>
      </c>
      <c r="W40" s="48"/>
      <c r="X40" s="49"/>
      <c r="Y40" s="49"/>
      <c r="Z40" s="49"/>
      <c r="AA40" s="50"/>
      <c r="AB40" s="51" t="s">
        <v>55</v>
      </c>
      <c r="AC40" s="49"/>
      <c r="AD40" s="49"/>
      <c r="AE40" s="50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2024-02-27T15:17:57Z</dcterms:created>
  <dcterms:modified xsi:type="dcterms:W3CDTF">2024-02-27T15:20:40Z</dcterms:modified>
  <cp:category/>
</cp:coreProperties>
</file>