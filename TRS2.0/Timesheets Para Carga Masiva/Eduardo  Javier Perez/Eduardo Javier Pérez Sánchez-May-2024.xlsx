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Eduardo Javier Perez Sanchez\Timesheets 2024\"/>
    </mc:Choice>
  </mc:AlternateContent>
  <xr:revisionPtr revIDLastSave="0" documentId="13_ncr:1_{C4D3F372-0526-49D3-8CFE-E39392E158A3}" xr6:coauthVersionLast="47" xr6:coauthVersionMax="47" xr10:uidLastSave="{00000000-0000-0000-0000-000000000000}"/>
  <bookViews>
    <workbookView xWindow="-20520" yWindow="-1680" windowWidth="2064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/>
  <c r="O24" i="1"/>
  <c r="L24" i="1"/>
  <c r="L25" i="1" s="1"/>
  <c r="K24" i="1"/>
  <c r="J24" i="1"/>
  <c r="I24" i="1"/>
  <c r="H24" i="1"/>
  <c r="H25" i="1" s="1"/>
  <c r="E24" i="1"/>
  <c r="D24" i="1"/>
  <c r="AH32" i="1"/>
  <c r="AH31" i="1"/>
  <c r="AH30" i="1"/>
  <c r="AH29" i="1"/>
  <c r="AH28" i="1"/>
  <c r="AH27" i="1"/>
  <c r="AC26" i="1"/>
  <c r="AC33" i="1" s="1"/>
  <c r="S26" i="1"/>
  <c r="S33" i="1" s="1"/>
  <c r="J26" i="1"/>
  <c r="J33" i="1" s="1"/>
  <c r="AG25" i="1"/>
  <c r="AG26" i="1" s="1"/>
  <c r="AG33" i="1" s="1"/>
  <c r="AF25" i="1"/>
  <c r="AF26" i="1" s="1"/>
  <c r="AF33" i="1" s="1"/>
  <c r="AE25" i="1"/>
  <c r="AD25" i="1"/>
  <c r="AC25" i="1"/>
  <c r="Z25" i="1"/>
  <c r="Z26" i="1" s="1"/>
  <c r="Z33" i="1" s="1"/>
  <c r="Y25" i="1"/>
  <c r="X25" i="1"/>
  <c r="W25" i="1"/>
  <c r="W26" i="1" s="1"/>
  <c r="W33" i="1" s="1"/>
  <c r="S25" i="1"/>
  <c r="R25" i="1"/>
  <c r="Q25" i="1"/>
  <c r="P25" i="1"/>
  <c r="P26" i="1" s="1"/>
  <c r="P33" i="1" s="1"/>
  <c r="O25" i="1"/>
  <c r="O26" i="1" s="1"/>
  <c r="O33" i="1" s="1"/>
  <c r="K25" i="1"/>
  <c r="J25" i="1"/>
  <c r="I25" i="1"/>
  <c r="I26" i="1" s="1"/>
  <c r="I33" i="1" s="1"/>
  <c r="E25" i="1"/>
  <c r="D25" i="1"/>
  <c r="D26" i="1" s="1"/>
  <c r="D33" i="1" s="1"/>
  <c r="AH24" i="1"/>
  <c r="AH23" i="1"/>
  <c r="AH25" i="1" l="1"/>
  <c r="P16" i="1" s="1"/>
  <c r="X16" i="1" s="1"/>
  <c r="K33" i="1"/>
  <c r="E26" i="1"/>
  <c r="K26" i="1"/>
  <c r="Q26" i="1"/>
  <c r="Q33" i="1" s="1"/>
  <c r="X26" i="1"/>
  <c r="X33" i="1" s="1"/>
  <c r="AD26" i="1"/>
  <c r="AD33" i="1" s="1"/>
  <c r="H26" i="1"/>
  <c r="H33" i="1" s="1"/>
  <c r="L26" i="1"/>
  <c r="L33" i="1" s="1"/>
  <c r="R26" i="1"/>
  <c r="R33" i="1" s="1"/>
  <c r="Y26" i="1"/>
  <c r="Y33" i="1" s="1"/>
  <c r="AE26" i="1"/>
  <c r="AE33" i="1" s="1"/>
  <c r="AH26" i="1" l="1"/>
  <c r="AH33" i="1" s="1"/>
  <c r="H16" i="1" s="1"/>
  <c r="E33" i="1"/>
  <c r="AH34" i="1" l="1"/>
  <c r="AI25" i="1" s="1"/>
  <c r="AI24" i="1" l="1"/>
  <c r="AI23" i="1"/>
</calcChain>
</file>

<file path=xl/sharedStrings.xml><?xml version="1.0" encoding="utf-8"?>
<sst xmlns="http://schemas.openxmlformats.org/spreadsheetml/2006/main" count="81" uniqueCount="55">
  <si>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</si>
  <si>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</si>
  <si>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</si>
  <si>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</si>
  <si>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</si>
  <si>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</si>
  <si>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</si>
  <si>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</si>
  <si>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</si>
  <si>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Eduardo Javier Pérez Sánchez</t>
  </si>
  <si>
    <t>R2 (recognised Researcher)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</si>
  <si>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</si>
  <si>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</si>
  <si>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</si>
  <si>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</si>
  <si>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</si>
  <si>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</si>
  <si>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</si>
  <si>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</si>
  <si>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</si>
  <si>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</si>
  <si>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</si>
  <si>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</si>
  <si>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</si>
  <si>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</si>
  <si>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</si>
  <si>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</si>
  <si>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</si>
  <si>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</si>
  <si>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</si>
  <si>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</si>
  <si>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</si>
  <si>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</si>
  <si>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</si>
  <si>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</si>
  <si>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</si>
  <si>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</si>
  <si>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</si>
  <si>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</si>
  <si>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</si>
  <si>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PE119600 INDIGO - WP6 LAQN improvement form DHEP-LARW technology development</t>
  </si>
  <si>
    <t>Dedicacion: 57% Estimated:89.78 h</t>
  </si>
  <si>
    <t>PE115500 HyInHeat - WP6 Demonstration of H2 heating solutions in steel production processes</t>
  </si>
  <si>
    <t>Dedicacion: 43% Estimated:67.73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</si>
  <si>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</si>
  <si>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</si>
  <si>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</si>
  <si>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</si>
  <si>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</si>
  <si>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</si>
  <si>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</si>
  <si>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</si>
  <si>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Daniel Mira Martínez</t>
  </si>
  <si>
    <t>2024-06-03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</si>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</sst>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topLeftCell="B1" zoomScale="50" zoomScaleNormal="50" workbookViewId="0">
      <selection activeCell="AH23" sqref="AH23"/>
    </sheetView>
  </sheetViews>
  <sheetFormatPr baseColWidth="10" defaultColWidth="8.90625" defaultRowHeight="14.5" x14ac:dyDescent="0.35"/>
  <cols>
    <col min="1" max="2" width="40" customWidth="1"/>
  </cols>
  <sheetData>
    <row r="2" spans="1:34" ht="19.5" x14ac:dyDescent="0.45">
      <c r="C2" s="30" t="s">
        <v>1</v>
      </c>
      <c r="D2" s="30"/>
      <c r="E2" s="30"/>
    </row>
    <row r="4" spans="1:34" ht="19.5" x14ac:dyDescent="0.45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" x14ac:dyDescent="0.6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45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45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45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45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45">
      <c r="A12" s="1" t="s">
        <v>16</v>
      </c>
      <c r="B12" s="30">
        <v>2024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45">
      <c r="F16" s="39" t="s">
        <v>17</v>
      </c>
      <c r="G16" s="40"/>
      <c r="H16" s="38">
        <f>AH33</f>
        <v>157.5</v>
      </c>
      <c r="I16" s="38"/>
      <c r="K16" s="39" t="s">
        <v>18</v>
      </c>
      <c r="L16" s="40"/>
      <c r="M16" s="40"/>
      <c r="N16" s="40"/>
      <c r="O16" s="40"/>
      <c r="P16" s="41">
        <f>AH25</f>
        <v>157.5</v>
      </c>
      <c r="Q16" s="41"/>
      <c r="S16" s="39" t="s">
        <v>19</v>
      </c>
      <c r="T16" s="40"/>
      <c r="U16" s="40"/>
      <c r="V16" s="40"/>
      <c r="W16" s="40"/>
      <c r="X16" s="38">
        <f>(P16/7.5) *1</f>
        <v>21</v>
      </c>
      <c r="Y16" s="38"/>
    </row>
    <row r="19" spans="1:35" ht="19.5" x14ac:dyDescent="0.45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15" t="s">
        <v>36</v>
      </c>
      <c r="AI19" s="16" t="s">
        <v>37</v>
      </c>
    </row>
    <row r="20" spans="1:35" ht="19.5" x14ac:dyDescent="0.45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15"/>
      <c r="AI20" s="18"/>
    </row>
    <row r="21" spans="1:35" ht="19.5" x14ac:dyDescent="0.45">
      <c r="A21" s="30" t="s">
        <v>38</v>
      </c>
      <c r="B21" s="30"/>
      <c r="C21" s="37"/>
      <c r="D21" s="34"/>
      <c r="E21" s="34"/>
      <c r="F21" s="36"/>
      <c r="G21" s="36"/>
      <c r="H21" s="34"/>
      <c r="I21" s="34"/>
      <c r="J21" s="34"/>
      <c r="K21" s="34"/>
      <c r="L21" s="34"/>
      <c r="M21" s="36"/>
      <c r="N21" s="36"/>
      <c r="O21" s="34"/>
      <c r="P21" s="34"/>
      <c r="Q21" s="34"/>
      <c r="R21" s="34"/>
      <c r="S21" s="34"/>
      <c r="T21" s="36"/>
      <c r="U21" s="36"/>
      <c r="V21" s="37"/>
      <c r="W21" s="34"/>
      <c r="X21" s="34"/>
      <c r="Y21" s="34"/>
      <c r="Z21" s="34"/>
      <c r="AA21" s="36"/>
      <c r="AB21" s="36"/>
      <c r="AC21" s="34"/>
      <c r="AD21" s="34"/>
      <c r="AE21" s="34"/>
      <c r="AF21" s="34"/>
      <c r="AG21" s="34"/>
      <c r="AH21" s="34"/>
      <c r="AI21" s="35"/>
    </row>
    <row r="22" spans="1:35" ht="19.5" x14ac:dyDescent="0.45">
      <c r="A22" s="31" t="s">
        <v>39</v>
      </c>
      <c r="B22" s="31"/>
      <c r="C22" s="37"/>
      <c r="D22" s="34"/>
      <c r="E22" s="34"/>
      <c r="F22" s="36"/>
      <c r="G22" s="36"/>
      <c r="H22" s="34"/>
      <c r="I22" s="34"/>
      <c r="J22" s="34"/>
      <c r="K22" s="34"/>
      <c r="L22" s="34"/>
      <c r="M22" s="36"/>
      <c r="N22" s="36"/>
      <c r="O22" s="34"/>
      <c r="P22" s="34"/>
      <c r="Q22" s="34"/>
      <c r="R22" s="34"/>
      <c r="S22" s="34"/>
      <c r="T22" s="36"/>
      <c r="U22" s="36"/>
      <c r="V22" s="37"/>
      <c r="W22" s="34"/>
      <c r="X22" s="34"/>
      <c r="Y22" s="34"/>
      <c r="Z22" s="34"/>
      <c r="AA22" s="36"/>
      <c r="AB22" s="36"/>
      <c r="AC22" s="34"/>
      <c r="AD22" s="34"/>
      <c r="AE22" s="34"/>
      <c r="AF22" s="34"/>
      <c r="AG22" s="34"/>
      <c r="AH22" s="34"/>
      <c r="AI22" s="35"/>
    </row>
    <row r="23" spans="1:35" ht="19.5" x14ac:dyDescent="0.45">
      <c r="A23" s="12" t="s">
        <v>40</v>
      </c>
      <c r="B23" s="12" t="s">
        <v>41</v>
      </c>
      <c r="C23" s="6"/>
      <c r="D23" s="3"/>
      <c r="E23" s="3"/>
      <c r="F23" s="9"/>
      <c r="G23" s="9"/>
      <c r="H23" s="3"/>
      <c r="I23" s="3"/>
      <c r="J23" s="3"/>
      <c r="K23" s="3"/>
      <c r="L23" s="3"/>
      <c r="M23" s="9"/>
      <c r="N23" s="9"/>
      <c r="O23" s="3"/>
      <c r="P23" s="3"/>
      <c r="Q23" s="3">
        <v>7.5</v>
      </c>
      <c r="R23" s="3">
        <v>7.5</v>
      </c>
      <c r="S23" s="3">
        <v>7.5</v>
      </c>
      <c r="T23" s="9"/>
      <c r="U23" s="9"/>
      <c r="V23" s="6"/>
      <c r="W23" s="3">
        <v>7.5</v>
      </c>
      <c r="X23" s="3">
        <v>7.5</v>
      </c>
      <c r="Y23" s="3">
        <v>7.5</v>
      </c>
      <c r="Z23" s="3">
        <v>7.5</v>
      </c>
      <c r="AA23" s="9"/>
      <c r="AB23" s="9"/>
      <c r="AC23" s="3">
        <v>7.5</v>
      </c>
      <c r="AD23" s="3">
        <v>7.5</v>
      </c>
      <c r="AE23" s="3">
        <v>7.5</v>
      </c>
      <c r="AF23" s="3">
        <v>7.5</v>
      </c>
      <c r="AG23" s="3">
        <v>7.5</v>
      </c>
      <c r="AH23" s="3">
        <f>SUM(C23:AG23)</f>
        <v>90</v>
      </c>
      <c r="AI23" s="13">
        <f>AH23/$AH$34</f>
        <v>0.5714285714285714</v>
      </c>
    </row>
    <row r="24" spans="1:35" ht="19.5" x14ac:dyDescent="0.45">
      <c r="A24" s="12" t="s">
        <v>42</v>
      </c>
      <c r="B24" s="12" t="s">
        <v>43</v>
      </c>
      <c r="C24" s="6"/>
      <c r="D24" s="3">
        <f>7.5-D23</f>
        <v>7.5</v>
      </c>
      <c r="E24" s="3">
        <f>7.5-E23</f>
        <v>7.5</v>
      </c>
      <c r="F24" s="9"/>
      <c r="G24" s="9"/>
      <c r="H24" s="3">
        <f>7.5-H23</f>
        <v>7.5</v>
      </c>
      <c r="I24" s="3">
        <f>7.5-I23</f>
        <v>7.5</v>
      </c>
      <c r="J24" s="3">
        <f>7.5-J23</f>
        <v>7.5</v>
      </c>
      <c r="K24" s="3">
        <f>7.5-K23</f>
        <v>7.5</v>
      </c>
      <c r="L24" s="3">
        <f>7.5-L23</f>
        <v>7.5</v>
      </c>
      <c r="M24" s="9"/>
      <c r="N24" s="9"/>
      <c r="O24" s="3">
        <f>7.5-O23</f>
        <v>7.5</v>
      </c>
      <c r="P24" s="3">
        <f>7.5-P23</f>
        <v>7.5</v>
      </c>
      <c r="Q24" s="3"/>
      <c r="R24" s="3"/>
      <c r="S24" s="3"/>
      <c r="T24" s="9"/>
      <c r="U24" s="9"/>
      <c r="V24" s="6"/>
      <c r="W24" s="3"/>
      <c r="X24" s="3"/>
      <c r="Y24" s="3"/>
      <c r="Z24" s="3"/>
      <c r="AA24" s="9"/>
      <c r="AB24" s="9"/>
      <c r="AC24" s="3"/>
      <c r="AD24" s="3"/>
      <c r="AE24" s="3"/>
      <c r="AF24" s="3"/>
      <c r="AG24" s="3"/>
      <c r="AH24" s="3">
        <f>SUM(C24:AG24)</f>
        <v>67.5</v>
      </c>
      <c r="AI24" s="13">
        <f>AH24/$AH$34</f>
        <v>0.42857142857142855</v>
      </c>
    </row>
    <row r="25" spans="1:35" ht="19.5" x14ac:dyDescent="0.45">
      <c r="A25" s="32" t="s">
        <v>44</v>
      </c>
      <c r="B25" s="33"/>
      <c r="C25" s="7"/>
      <c r="D25" s="4">
        <f>SUM(D23:D24)</f>
        <v>7.5</v>
      </c>
      <c r="E25" s="4">
        <f>SUM(E23:E24)</f>
        <v>7.5</v>
      </c>
      <c r="F25" s="10"/>
      <c r="G25" s="10"/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4">
        <f>SUM(L23:L24)</f>
        <v>7.5</v>
      </c>
      <c r="M25" s="10"/>
      <c r="N25" s="10"/>
      <c r="O25" s="4">
        <f>SUM(O23:O24)</f>
        <v>7.5</v>
      </c>
      <c r="P25" s="4">
        <f>SUM(P23:P24)</f>
        <v>7.5</v>
      </c>
      <c r="Q25" s="4">
        <f>SUM(Q23:Q24)</f>
        <v>7.5</v>
      </c>
      <c r="R25" s="4">
        <f>SUM(R23:R24)</f>
        <v>7.5</v>
      </c>
      <c r="S25" s="4">
        <f>SUM(S23:S24)</f>
        <v>7.5</v>
      </c>
      <c r="T25" s="10"/>
      <c r="U25" s="10"/>
      <c r="V25" s="7"/>
      <c r="W25" s="4">
        <f>SUM(W23:W24)</f>
        <v>7.5</v>
      </c>
      <c r="X25" s="4">
        <f>SUM(X23:X24)</f>
        <v>7.5</v>
      </c>
      <c r="Y25" s="4">
        <f>SUM(Y23:Y24)</f>
        <v>7.5</v>
      </c>
      <c r="Z25" s="4">
        <f>SUM(Z23:Z24)</f>
        <v>7.5</v>
      </c>
      <c r="AA25" s="10"/>
      <c r="AB25" s="10"/>
      <c r="AC25" s="4">
        <f t="shared" ref="AC25:AH25" si="0">SUM(AC23:AC24)</f>
        <v>7.5</v>
      </c>
      <c r="AD25" s="4">
        <f t="shared" si="0"/>
        <v>7.5</v>
      </c>
      <c r="AE25" s="4">
        <f t="shared" si="0"/>
        <v>7.5</v>
      </c>
      <c r="AF25" s="4">
        <f t="shared" si="0"/>
        <v>7.5</v>
      </c>
      <c r="AG25" s="4">
        <f t="shared" si="0"/>
        <v>7.5</v>
      </c>
      <c r="AH25" s="4">
        <f t="shared" si="0"/>
        <v>157.5</v>
      </c>
      <c r="AI25" s="11">
        <f>AH25/$AH$34</f>
        <v>1</v>
      </c>
    </row>
    <row r="26" spans="1:35" ht="19.5" x14ac:dyDescent="0.45">
      <c r="A26" s="29" t="s">
        <v>45</v>
      </c>
      <c r="B26" s="29"/>
      <c r="C26" s="6"/>
      <c r="D26" s="3">
        <f>7.5-D25</f>
        <v>0</v>
      </c>
      <c r="E26" s="3">
        <f>7.5-E25</f>
        <v>0</v>
      </c>
      <c r="F26" s="9"/>
      <c r="G26" s="9"/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3">
        <f>7.5-L25</f>
        <v>0</v>
      </c>
      <c r="M26" s="9"/>
      <c r="N26" s="9"/>
      <c r="O26" s="3">
        <f>7.5-O25</f>
        <v>0</v>
      </c>
      <c r="P26" s="3">
        <f>7.5-P25</f>
        <v>0</v>
      </c>
      <c r="Q26" s="3">
        <f>7.5-Q25</f>
        <v>0</v>
      </c>
      <c r="R26" s="3">
        <f>7.5-R25</f>
        <v>0</v>
      </c>
      <c r="S26" s="3">
        <f>7.5-S25</f>
        <v>0</v>
      </c>
      <c r="T26" s="9"/>
      <c r="U26" s="9"/>
      <c r="V26" s="6"/>
      <c r="W26" s="3">
        <f>7.5-W25</f>
        <v>0</v>
      </c>
      <c r="X26" s="3">
        <f>7.5-X25</f>
        <v>0</v>
      </c>
      <c r="Y26" s="3">
        <f>7.5-Y25</f>
        <v>0</v>
      </c>
      <c r="Z26" s="3">
        <f>7.5-Z25</f>
        <v>0</v>
      </c>
      <c r="AA26" s="9"/>
      <c r="AB26" s="9"/>
      <c r="AC26" s="3">
        <f>7.5-AC25</f>
        <v>0</v>
      </c>
      <c r="AD26" s="3">
        <f>7.5-AD25</f>
        <v>0</v>
      </c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1">SUM(C26:AG26)</f>
        <v>0</v>
      </c>
    </row>
    <row r="27" spans="1:35" ht="19.5" x14ac:dyDescent="0.45">
      <c r="A27" s="29"/>
      <c r="B27" s="29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3"/>
      <c r="S27" s="3"/>
      <c r="T27" s="9"/>
      <c r="U27" s="9"/>
      <c r="V27" s="6"/>
      <c r="W27" s="3"/>
      <c r="X27" s="3"/>
      <c r="Y27" s="3"/>
      <c r="Z27" s="3"/>
      <c r="AA27" s="9"/>
      <c r="AB27" s="9"/>
      <c r="AC27" s="3"/>
      <c r="AD27" s="3"/>
      <c r="AE27" s="3"/>
      <c r="AF27" s="3"/>
      <c r="AG27" s="3"/>
      <c r="AH27" s="3">
        <f t="shared" si="1"/>
        <v>0</v>
      </c>
    </row>
    <row r="28" spans="1:35" ht="19.5" x14ac:dyDescent="0.45">
      <c r="A28" s="29"/>
      <c r="B28" s="29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6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45">
      <c r="A29" s="29"/>
      <c r="B29" s="29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45">
      <c r="A30" s="29" t="s">
        <v>46</v>
      </c>
      <c r="B30" s="29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45">
      <c r="A31" s="29" t="s">
        <v>47</v>
      </c>
      <c r="B31" s="29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45">
      <c r="A32" s="29" t="s">
        <v>48</v>
      </c>
      <c r="B32" s="29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6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45">
      <c r="A33" s="12" t="s">
        <v>49</v>
      </c>
      <c r="B33" s="12"/>
      <c r="C33" s="7"/>
      <c r="D33" s="4">
        <f>SUM(D25:D29)</f>
        <v>7.5</v>
      </c>
      <c r="E33" s="4">
        <f>SUM(E25:E29)</f>
        <v>7.5</v>
      </c>
      <c r="F33" s="10"/>
      <c r="G33" s="10"/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4">
        <f>SUM(L25:L29)</f>
        <v>7.5</v>
      </c>
      <c r="M33" s="10"/>
      <c r="N33" s="10"/>
      <c r="O33" s="4">
        <f>SUM(O25:O29)</f>
        <v>7.5</v>
      </c>
      <c r="P33" s="4">
        <f>SUM(P25:P29)</f>
        <v>7.5</v>
      </c>
      <c r="Q33" s="4">
        <f>SUM(Q25:Q29)</f>
        <v>7.5</v>
      </c>
      <c r="R33" s="4">
        <f>SUM(R25:R29)</f>
        <v>7.5</v>
      </c>
      <c r="S33" s="4">
        <f>SUM(S25:S29)</f>
        <v>7.5</v>
      </c>
      <c r="T33" s="10"/>
      <c r="U33" s="10"/>
      <c r="V33" s="7"/>
      <c r="W33" s="4">
        <f>SUM(W25:W29)</f>
        <v>7.5</v>
      </c>
      <c r="X33" s="4">
        <f>SUM(X25:X29)</f>
        <v>7.5</v>
      </c>
      <c r="Y33" s="4">
        <f>SUM(Y25:Y29)</f>
        <v>7.5</v>
      </c>
      <c r="Z33" s="4">
        <f>SUM(Z25:Z29)</f>
        <v>7.5</v>
      </c>
      <c r="AA33" s="10"/>
      <c r="AB33" s="10"/>
      <c r="AC33" s="4">
        <f t="shared" ref="AC33:AH33" si="2">SUM(AC25:AC29)</f>
        <v>7.5</v>
      </c>
      <c r="AD33" s="4">
        <f t="shared" si="2"/>
        <v>7.5</v>
      </c>
      <c r="AE33" s="4">
        <f t="shared" si="2"/>
        <v>7.5</v>
      </c>
      <c r="AF33" s="4">
        <f t="shared" si="2"/>
        <v>7.5</v>
      </c>
      <c r="AG33" s="4">
        <f t="shared" si="2"/>
        <v>7.5</v>
      </c>
      <c r="AH33" s="4">
        <f t="shared" si="2"/>
        <v>157.5</v>
      </c>
    </row>
    <row r="34" spans="1:34" ht="19.5" x14ac:dyDescent="0.45">
      <c r="A34" s="12" t="s">
        <v>50</v>
      </c>
      <c r="B34" s="1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2">
        <f>SUM(AH30:AH33)</f>
        <v>157.5</v>
      </c>
    </row>
    <row r="37" spans="1:34" x14ac:dyDescent="0.35">
      <c r="A37" s="16" t="s">
        <v>51</v>
      </c>
      <c r="B37" s="16" t="s">
        <v>52</v>
      </c>
      <c r="W37" s="19" t="s">
        <v>54</v>
      </c>
      <c r="X37" s="20"/>
      <c r="Y37" s="20"/>
      <c r="Z37" s="20"/>
      <c r="AA37" s="21"/>
      <c r="AB37" s="19" t="s">
        <v>9</v>
      </c>
      <c r="AC37" s="20"/>
      <c r="AD37" s="20"/>
      <c r="AE37" s="21"/>
    </row>
    <row r="38" spans="1:34" x14ac:dyDescent="0.35">
      <c r="A38" s="17"/>
      <c r="B38" s="17"/>
      <c r="W38" s="22"/>
      <c r="X38" s="23"/>
      <c r="Y38" s="23"/>
      <c r="Z38" s="23"/>
      <c r="AA38" s="24"/>
      <c r="AB38" s="22"/>
      <c r="AC38" s="23"/>
      <c r="AD38" s="23"/>
      <c r="AE38" s="24"/>
    </row>
    <row r="39" spans="1:34" ht="19.5" x14ac:dyDescent="0.35">
      <c r="A39" s="18"/>
      <c r="B39" s="14" t="s">
        <v>53</v>
      </c>
      <c r="W39" s="25"/>
      <c r="X39" s="26"/>
      <c r="Y39" s="26"/>
      <c r="Z39" s="26"/>
      <c r="AA39" s="27"/>
      <c r="AB39" s="28" t="s">
        <v>53</v>
      </c>
      <c r="AC39" s="26"/>
      <c r="AD39" s="26"/>
      <c r="AE39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De Haro Clota</cp:lastModifiedBy>
  <dcterms:created xsi:type="dcterms:W3CDTF">2024-08-07T09:41:46Z</dcterms:created>
  <dcterms:modified xsi:type="dcterms:W3CDTF">2024-09-02T11:49:26Z</dcterms:modified>
  <cp:category/>
</cp:coreProperties>
</file>