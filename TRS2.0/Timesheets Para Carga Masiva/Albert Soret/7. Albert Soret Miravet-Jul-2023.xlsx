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A7C1D704-DDFA-41F9-9067-A84621139E44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AG28" i="1"/>
  <c r="AG29" i="1" s="1"/>
  <c r="AG36" i="1" s="1"/>
  <c r="AD28" i="1"/>
  <c r="AD29" i="1" s="1"/>
  <c r="AD36" i="1" s="1"/>
  <c r="AC28" i="1"/>
  <c r="AC29" i="1" s="1"/>
  <c r="AC36" i="1" s="1"/>
  <c r="AB28" i="1"/>
  <c r="AA28" i="1"/>
  <c r="AA29" i="1" s="1"/>
  <c r="AA36" i="1" s="1"/>
  <c r="Z28" i="1"/>
  <c r="Z29" i="1" s="1"/>
  <c r="Z36" i="1" s="1"/>
  <c r="W28" i="1"/>
  <c r="W29" i="1" s="1"/>
  <c r="W36" i="1" s="1"/>
  <c r="V28" i="1"/>
  <c r="U28" i="1"/>
  <c r="U29" i="1" s="1"/>
  <c r="U36" i="1" s="1"/>
  <c r="T28" i="1"/>
  <c r="T29" i="1" s="1"/>
  <c r="T36" i="1" s="1"/>
  <c r="S28" i="1"/>
  <c r="S29" i="1" s="1"/>
  <c r="S36" i="1" s="1"/>
  <c r="P28" i="1"/>
  <c r="O28" i="1"/>
  <c r="O29" i="1" s="1"/>
  <c r="O36" i="1" s="1"/>
  <c r="N28" i="1"/>
  <c r="N29" i="1" s="1"/>
  <c r="N36" i="1" s="1"/>
  <c r="M28" i="1"/>
  <c r="M29" i="1" s="1"/>
  <c r="M36" i="1" s="1"/>
  <c r="L28" i="1"/>
  <c r="I28" i="1"/>
  <c r="I29" i="1" s="1"/>
  <c r="I36" i="1" s="1"/>
  <c r="H28" i="1"/>
  <c r="H29" i="1" s="1"/>
  <c r="H36" i="1" s="1"/>
  <c r="G28" i="1"/>
  <c r="G29" i="1" s="1"/>
  <c r="G36" i="1" s="1"/>
  <c r="F28" i="1"/>
  <c r="E28" i="1"/>
  <c r="E29" i="1" s="1"/>
  <c r="AH27" i="1"/>
  <c r="AH26" i="1"/>
  <c r="AH25" i="1"/>
  <c r="AH24" i="1"/>
  <c r="AH23" i="1"/>
  <c r="AH28" i="1" l="1"/>
  <c r="P16" i="1" s="1"/>
  <c r="X16" i="1" s="1"/>
  <c r="E36" i="1"/>
  <c r="F29" i="1"/>
  <c r="F36" i="1" s="1"/>
  <c r="L29" i="1"/>
  <c r="L36" i="1" s="1"/>
  <c r="P29" i="1"/>
  <c r="P36" i="1" s="1"/>
  <c r="V29" i="1"/>
  <c r="V36" i="1" s="1"/>
  <c r="AB29" i="1"/>
  <c r="AB36" i="1" s="1"/>
  <c r="AH29" i="1" l="1"/>
  <c r="AH36" i="1" s="1"/>
  <c r="AH37" i="1" l="1"/>
  <c r="H16" i="1"/>
  <c r="AI26" i="1" l="1"/>
  <c r="AI24" i="1"/>
  <c r="AI25" i="1"/>
  <c r="AI23" i="1"/>
  <c r="AI27" i="1"/>
  <c r="AI28" i="1"/>
</calcChain>
</file>

<file path=xl/sharedStrings.xml><?xml version="1.0" encoding="utf-8"?>
<sst xmlns="http://schemas.openxmlformats.org/spreadsheetml/2006/main" count="96" uniqueCount="70">
  <si>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</si>
  <si>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</si>
  <si>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</si>
  <si>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</si>
  <si>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</si>
  <si>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</si>
  <si>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</si>
  <si>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</si>
  <si>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</si>
  <si>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</si>
  <si>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</si>
  <si>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</si>
  <si>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</si>
  <si>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</si>
  <si>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</si>
  <si>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</si>
  <si>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</si>
  <si>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</si>
  <si>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</si>
  <si>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</si>
  <si>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</si>
  <si>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</si>
  <si>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</si>
  <si>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</si>
  <si>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</si>
  <si>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</si>
  <si>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</si>
  <si>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</si>
  <si>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</si>
  <si>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</si>
  <si>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</si>
  <si>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</si>
  <si>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</si>
  <si>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</si>
  <si>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</si>
  <si>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</si>
  <si>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</si>
  <si>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</si>
  <si>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</si>
  <si>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</si>
  <si>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</si>
  <si>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Estimated:23.63 h</t>
  </si>
  <si>
    <t>PE099400 GreenSCENT - WP3 Digital Demonstrators (iterative) Development</t>
  </si>
  <si>
    <t>Dedicacion: 10% Estimated:15.75 h</t>
  </si>
  <si>
    <t xml:space="preserve">PE121200 DE_340 - WP10 Co-designing evocative applications / use cases </t>
  </si>
  <si>
    <t>Dedicacion: 50% Estimated:78.75 h</t>
  </si>
  <si>
    <t>PE113900 ASPECT - WP03 Creation and evaluation of seamless climate information across space and time</t>
  </si>
  <si>
    <t>Dedicacion: 20% Estimated:31.5 h</t>
  </si>
  <si>
    <t>PE113900 ASPECT - WP04 Co-developing case studies with superusers and exploring the benefits</t>
  </si>
  <si>
    <t>Dedicacion: 5% Estimated:7.88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</si>
  <si>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</si>
  <si>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</si>
  <si>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</si>
  <si>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</si>
  <si>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</si>
  <si>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</si>
  <si>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</si>
  <si>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</si>
  <si>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</si>
  <si>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</si>
  <si>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2023-08-07</t>
  </si>
  <si>
    <t>TRAVELS</t>
  </si>
  <si>
    <t>Liq Id</t>
  </si>
  <si>
    <t>Project</t>
  </si>
  <si>
    <t>Dedication</t>
  </si>
  <si>
    <t>StartDate</t>
  </si>
  <si>
    <t>EndDate</t>
  </si>
  <si>
    <t>1071/23</t>
  </si>
  <si>
    <t>2023-07-11</t>
  </si>
  <si>
    <t>PE113900 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</si>
</sst>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6"/>
  <sheetViews>
    <sheetView tabSelected="1" zoomScale="60" zoomScaleNormal="60" workbookViewId="0">
      <selection activeCell="B43" sqref="B4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AH36</f>
        <v>157.5</v>
      </c>
      <c r="I16" s="25"/>
      <c r="K16" s="24" t="s">
        <v>18</v>
      </c>
      <c r="L16" s="16"/>
      <c r="M16" s="16"/>
      <c r="N16" s="16"/>
      <c r="O16" s="16"/>
      <c r="P16" s="26">
        <f>AH28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8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9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8"/>
      <c r="AA21" s="28"/>
      <c r="AB21" s="28"/>
      <c r="AC21" s="28"/>
      <c r="AD21" s="28"/>
      <c r="AE21" s="27"/>
      <c r="AF21" s="27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9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8"/>
      <c r="AA22" s="28"/>
      <c r="AB22" s="28"/>
      <c r="AC22" s="28"/>
      <c r="AD22" s="28"/>
      <c r="AE22" s="27"/>
      <c r="AF22" s="27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6"/>
      <c r="E23" s="3">
        <v>3.5</v>
      </c>
      <c r="F23" s="3"/>
      <c r="G23" s="3"/>
      <c r="H23" s="3"/>
      <c r="I23" s="3"/>
      <c r="J23" s="6"/>
      <c r="K23" s="6"/>
      <c r="L23" s="3">
        <v>2</v>
      </c>
      <c r="M23" s="9"/>
      <c r="N23" s="3"/>
      <c r="O23" s="3"/>
      <c r="P23" s="3">
        <v>2</v>
      </c>
      <c r="Q23" s="6"/>
      <c r="R23" s="6"/>
      <c r="S23" s="3">
        <v>2</v>
      </c>
      <c r="T23" s="3"/>
      <c r="U23" s="3"/>
      <c r="V23" s="3">
        <v>2</v>
      </c>
      <c r="W23" s="3">
        <v>2</v>
      </c>
      <c r="X23" s="6"/>
      <c r="Y23" s="6"/>
      <c r="Z23" s="3">
        <v>2</v>
      </c>
      <c r="AA23" s="3"/>
      <c r="AB23" s="3"/>
      <c r="AC23" s="3">
        <v>2.5</v>
      </c>
      <c r="AD23" s="3">
        <v>2</v>
      </c>
      <c r="AE23" s="6"/>
      <c r="AF23" s="6"/>
      <c r="AG23" s="3">
        <v>3.5</v>
      </c>
      <c r="AH23" s="3">
        <f>SUM(C23:AG23)</f>
        <v>23.5</v>
      </c>
      <c r="AI23" s="13">
        <f t="shared" ref="AI23:AI28" si="0">AH23/$AH$37</f>
        <v>0.1492063492063492</v>
      </c>
    </row>
    <row r="24" spans="1:35" ht="19.5" x14ac:dyDescent="0.3">
      <c r="A24" s="12" t="s">
        <v>42</v>
      </c>
      <c r="B24" s="12" t="s">
        <v>43</v>
      </c>
      <c r="C24" s="6"/>
      <c r="D24" s="6"/>
      <c r="E24" s="3"/>
      <c r="F24" s="3"/>
      <c r="G24" s="3"/>
      <c r="H24" s="3"/>
      <c r="I24" s="3"/>
      <c r="J24" s="6"/>
      <c r="K24" s="6"/>
      <c r="L24" s="3">
        <v>2</v>
      </c>
      <c r="M24" s="9"/>
      <c r="N24" s="3">
        <v>3</v>
      </c>
      <c r="O24" s="3">
        <v>2</v>
      </c>
      <c r="P24" s="3"/>
      <c r="Q24" s="6"/>
      <c r="R24" s="6"/>
      <c r="S24" s="3">
        <v>2</v>
      </c>
      <c r="T24" s="3">
        <v>1</v>
      </c>
      <c r="U24" s="3">
        <v>1</v>
      </c>
      <c r="V24" s="3"/>
      <c r="W24" s="3"/>
      <c r="X24" s="6"/>
      <c r="Y24" s="6"/>
      <c r="Z24" s="3">
        <v>2</v>
      </c>
      <c r="AA24" s="3">
        <v>1</v>
      </c>
      <c r="AB24" s="3">
        <v>2</v>
      </c>
      <c r="AC24" s="3"/>
      <c r="AD24" s="3"/>
      <c r="AE24" s="6"/>
      <c r="AF24" s="6"/>
      <c r="AG24" s="3"/>
      <c r="AH24" s="3">
        <f>SUM(C24:AG24)</f>
        <v>16</v>
      </c>
      <c r="AI24" s="13">
        <f t="shared" si="0"/>
        <v>0.10158730158730159</v>
      </c>
    </row>
    <row r="25" spans="1:35" ht="19.5" x14ac:dyDescent="0.3">
      <c r="A25" s="12" t="s">
        <v>44</v>
      </c>
      <c r="B25" s="12" t="s">
        <v>45</v>
      </c>
      <c r="C25" s="6"/>
      <c r="D25" s="6"/>
      <c r="E25" s="3">
        <v>4</v>
      </c>
      <c r="F25" s="3">
        <v>3.5</v>
      </c>
      <c r="G25" s="3">
        <v>3.5</v>
      </c>
      <c r="H25" s="3">
        <v>4</v>
      </c>
      <c r="I25" s="3">
        <v>4</v>
      </c>
      <c r="J25" s="6"/>
      <c r="K25" s="6"/>
      <c r="L25" s="3">
        <v>3.5</v>
      </c>
      <c r="M25" s="9"/>
      <c r="N25" s="3">
        <v>3.5</v>
      </c>
      <c r="O25" s="3">
        <v>4</v>
      </c>
      <c r="P25" s="3">
        <v>4</v>
      </c>
      <c r="Q25" s="6"/>
      <c r="R25" s="6"/>
      <c r="S25" s="3">
        <v>3.5</v>
      </c>
      <c r="T25" s="3">
        <v>6.5</v>
      </c>
      <c r="U25" s="3">
        <v>3.5</v>
      </c>
      <c r="V25" s="3">
        <v>4.5</v>
      </c>
      <c r="W25" s="3">
        <v>4</v>
      </c>
      <c r="X25" s="6"/>
      <c r="Y25" s="6"/>
      <c r="Z25" s="3">
        <v>3.5</v>
      </c>
      <c r="AA25" s="3">
        <v>3.5</v>
      </c>
      <c r="AB25" s="3">
        <v>3.5</v>
      </c>
      <c r="AC25" s="3">
        <v>4</v>
      </c>
      <c r="AD25" s="3">
        <v>4</v>
      </c>
      <c r="AE25" s="6"/>
      <c r="AF25" s="6"/>
      <c r="AG25" s="3">
        <v>4</v>
      </c>
      <c r="AH25" s="3">
        <f>SUM(C25:AG25)</f>
        <v>78.5</v>
      </c>
      <c r="AI25" s="13">
        <f t="shared" si="0"/>
        <v>0.49841269841269842</v>
      </c>
    </row>
    <row r="26" spans="1:35" ht="19.5" x14ac:dyDescent="0.3">
      <c r="A26" s="12" t="s">
        <v>46</v>
      </c>
      <c r="B26" s="12" t="s">
        <v>47</v>
      </c>
      <c r="C26" s="6"/>
      <c r="D26" s="6"/>
      <c r="E26" s="3"/>
      <c r="F26" s="3">
        <v>3</v>
      </c>
      <c r="G26" s="3">
        <v>3</v>
      </c>
      <c r="H26" s="3">
        <v>3.5</v>
      </c>
      <c r="I26" s="3">
        <v>3.5</v>
      </c>
      <c r="J26" s="6"/>
      <c r="K26" s="6"/>
      <c r="L26" s="3"/>
      <c r="M26" s="9">
        <v>5.5</v>
      </c>
      <c r="N26" s="3"/>
      <c r="O26" s="3">
        <v>1.5</v>
      </c>
      <c r="P26" s="3">
        <v>1.5</v>
      </c>
      <c r="Q26" s="6"/>
      <c r="R26" s="6"/>
      <c r="S26" s="3"/>
      <c r="T26" s="3"/>
      <c r="U26" s="3">
        <v>2</v>
      </c>
      <c r="V26" s="3">
        <v>1</v>
      </c>
      <c r="W26" s="3">
        <v>1.5</v>
      </c>
      <c r="X26" s="6"/>
      <c r="Y26" s="6"/>
      <c r="Z26" s="3"/>
      <c r="AA26" s="3">
        <v>2</v>
      </c>
      <c r="AB26" s="3">
        <v>2</v>
      </c>
      <c r="AC26" s="3"/>
      <c r="AD26" s="3">
        <v>1.5</v>
      </c>
      <c r="AE26" s="6"/>
      <c r="AF26" s="6"/>
      <c r="AG26" s="3"/>
      <c r="AH26" s="3">
        <f>SUM(C26:AG26)</f>
        <v>31.5</v>
      </c>
      <c r="AI26" s="13">
        <f t="shared" si="0"/>
        <v>0.2</v>
      </c>
    </row>
    <row r="27" spans="1:35" ht="19.5" x14ac:dyDescent="0.3">
      <c r="A27" s="12" t="s">
        <v>48</v>
      </c>
      <c r="B27" s="12" t="s">
        <v>49</v>
      </c>
      <c r="C27" s="6"/>
      <c r="D27" s="6"/>
      <c r="E27" s="3"/>
      <c r="F27" s="3">
        <v>1</v>
      </c>
      <c r="G27" s="3">
        <v>1</v>
      </c>
      <c r="H27" s="3"/>
      <c r="I27" s="3"/>
      <c r="J27" s="6"/>
      <c r="K27" s="6"/>
      <c r="L27" s="3"/>
      <c r="M27" s="9">
        <v>2</v>
      </c>
      <c r="N27" s="3">
        <v>1</v>
      </c>
      <c r="O27" s="3"/>
      <c r="P27" s="3"/>
      <c r="Q27" s="6"/>
      <c r="R27" s="6"/>
      <c r="S27" s="3"/>
      <c r="T27" s="3"/>
      <c r="U27" s="3">
        <v>1</v>
      </c>
      <c r="V27" s="3"/>
      <c r="W27" s="3"/>
      <c r="X27" s="6"/>
      <c r="Y27" s="6"/>
      <c r="Z27" s="3"/>
      <c r="AA27" s="3">
        <v>1</v>
      </c>
      <c r="AB27" s="3"/>
      <c r="AC27" s="3">
        <v>1</v>
      </c>
      <c r="AD27" s="3"/>
      <c r="AE27" s="6"/>
      <c r="AF27" s="6"/>
      <c r="AG27" s="3"/>
      <c r="AH27" s="3">
        <f>SUM(C27:AG27)</f>
        <v>8</v>
      </c>
      <c r="AI27" s="13">
        <f t="shared" si="0"/>
        <v>5.0793650793650794E-2</v>
      </c>
    </row>
    <row r="28" spans="1:35" ht="19.5" x14ac:dyDescent="0.3">
      <c r="A28" s="35" t="s">
        <v>50</v>
      </c>
      <c r="B28" s="36"/>
      <c r="C28" s="7"/>
      <c r="D28" s="7"/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4">
        <f>SUM(I23:I27)</f>
        <v>7.5</v>
      </c>
      <c r="J28" s="7"/>
      <c r="K28" s="7"/>
      <c r="L28" s="4">
        <f>SUM(L23:L27)</f>
        <v>7.5</v>
      </c>
      <c r="M28" s="10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4">
        <f>SUM(AG23:AG27)</f>
        <v>7.5</v>
      </c>
      <c r="AH28" s="4">
        <f>SUM(AH23:AH27)</f>
        <v>157.5</v>
      </c>
      <c r="AI28" s="11">
        <f t="shared" si="0"/>
        <v>1</v>
      </c>
    </row>
    <row r="29" spans="1:35" ht="19.5" x14ac:dyDescent="0.3">
      <c r="A29" s="37" t="s">
        <v>51</v>
      </c>
      <c r="B29" s="37"/>
      <c r="C29" s="6"/>
      <c r="D29" s="6"/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3">
        <f>7.5-I28</f>
        <v>0</v>
      </c>
      <c r="J29" s="6"/>
      <c r="K29" s="6"/>
      <c r="L29" s="3">
        <f>7.5-L28</f>
        <v>0</v>
      </c>
      <c r="M29" s="9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3">
        <f>7.5-AG28</f>
        <v>0</v>
      </c>
      <c r="AH29" s="3">
        <f t="shared" ref="AH29:AH35" si="1">SUM(C29:AG29)</f>
        <v>0</v>
      </c>
    </row>
    <row r="30" spans="1:35" ht="19.5" x14ac:dyDescent="0.3">
      <c r="A30" s="37"/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9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1"/>
        <v>0</v>
      </c>
    </row>
    <row r="31" spans="1:35" ht="19.5" x14ac:dyDescent="0.3">
      <c r="A31" s="37"/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9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1"/>
        <v>0</v>
      </c>
    </row>
    <row r="32" spans="1:35" ht="19.5" x14ac:dyDescent="0.3">
      <c r="A32" s="37"/>
      <c r="B32" s="37"/>
      <c r="C32" s="6"/>
      <c r="D32" s="6"/>
      <c r="E32" s="3"/>
      <c r="F32" s="3"/>
      <c r="G32" s="3"/>
      <c r="H32" s="3"/>
      <c r="I32" s="3"/>
      <c r="J32" s="6"/>
      <c r="K32" s="6"/>
      <c r="L32" s="3"/>
      <c r="M32" s="9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1"/>
        <v>0</v>
      </c>
    </row>
    <row r="33" spans="1:34" ht="19.5" x14ac:dyDescent="0.3">
      <c r="A33" s="37" t="s">
        <v>52</v>
      </c>
      <c r="B33" s="37"/>
      <c r="C33" s="6"/>
      <c r="D33" s="6"/>
      <c r="E33" s="3"/>
      <c r="F33" s="3"/>
      <c r="G33" s="3"/>
      <c r="H33" s="3"/>
      <c r="I33" s="3"/>
      <c r="J33" s="6"/>
      <c r="K33" s="6"/>
      <c r="L33" s="3"/>
      <c r="M33" s="9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1"/>
        <v>0</v>
      </c>
    </row>
    <row r="34" spans="1:34" ht="19.5" x14ac:dyDescent="0.3">
      <c r="A34" s="37" t="s">
        <v>53</v>
      </c>
      <c r="B34" s="37"/>
      <c r="C34" s="6"/>
      <c r="D34" s="6"/>
      <c r="E34" s="3"/>
      <c r="F34" s="3"/>
      <c r="G34" s="3"/>
      <c r="H34" s="3"/>
      <c r="I34" s="3"/>
      <c r="J34" s="6"/>
      <c r="K34" s="6"/>
      <c r="L34" s="3"/>
      <c r="M34" s="9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/>
      <c r="AH34" s="3">
        <f t="shared" si="1"/>
        <v>0</v>
      </c>
    </row>
    <row r="35" spans="1:34" ht="19.5" x14ac:dyDescent="0.3">
      <c r="A35" s="37" t="s">
        <v>54</v>
      </c>
      <c r="B35" s="37"/>
      <c r="C35" s="6"/>
      <c r="D35" s="6"/>
      <c r="E35" s="3"/>
      <c r="F35" s="3"/>
      <c r="G35" s="3"/>
      <c r="H35" s="3"/>
      <c r="I35" s="3"/>
      <c r="J35" s="6"/>
      <c r="K35" s="6"/>
      <c r="L35" s="3"/>
      <c r="M35" s="9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/>
      <c r="AH35" s="3">
        <f t="shared" si="1"/>
        <v>0</v>
      </c>
    </row>
    <row r="36" spans="1:34" ht="19.5" x14ac:dyDescent="0.3">
      <c r="A36" s="12" t="s">
        <v>55</v>
      </c>
      <c r="B36" s="12"/>
      <c r="C36" s="7"/>
      <c r="D36" s="7"/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4">
        <f>SUM(I28:I32)</f>
        <v>7.5</v>
      </c>
      <c r="J36" s="7"/>
      <c r="K36" s="7"/>
      <c r="L36" s="4">
        <f>SUM(L28:L32)</f>
        <v>7.5</v>
      </c>
      <c r="M36" s="10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4">
        <f>SUM(AG28:AG32)</f>
        <v>7.5</v>
      </c>
      <c r="AH36" s="4">
        <f>SUM(AH28:AH32)</f>
        <v>157.5</v>
      </c>
    </row>
    <row r="37" spans="1:34" ht="19.5" x14ac:dyDescent="0.3">
      <c r="A37" s="12" t="s">
        <v>56</v>
      </c>
      <c r="B37" s="1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">
        <f>SUM(AH33:AH36)</f>
        <v>157.5</v>
      </c>
    </row>
    <row r="40" spans="1:34" x14ac:dyDescent="0.25">
      <c r="A40" s="31" t="s">
        <v>57</v>
      </c>
      <c r="B40" s="31" t="s">
        <v>58</v>
      </c>
      <c r="W40" s="39" t="s">
        <v>59</v>
      </c>
      <c r="X40" s="40"/>
      <c r="Y40" s="40"/>
      <c r="Z40" s="40"/>
      <c r="AA40" s="41"/>
      <c r="AB40" s="39" t="s">
        <v>9</v>
      </c>
      <c r="AC40" s="40"/>
      <c r="AD40" s="40"/>
      <c r="AE40" s="41"/>
    </row>
    <row r="41" spans="1:34" x14ac:dyDescent="0.25">
      <c r="A41" s="38"/>
      <c r="B41" s="38"/>
      <c r="W41" s="42"/>
      <c r="X41" s="43"/>
      <c r="Y41" s="43"/>
      <c r="Z41" s="43"/>
      <c r="AA41" s="44"/>
      <c r="AB41" s="42"/>
      <c r="AC41" s="43"/>
      <c r="AD41" s="43"/>
      <c r="AE41" s="44"/>
    </row>
    <row r="42" spans="1:34" ht="19.5" x14ac:dyDescent="0.25">
      <c r="A42" s="32"/>
      <c r="B42" s="14">
        <v>45160</v>
      </c>
      <c r="W42" s="45"/>
      <c r="X42" s="46"/>
      <c r="Y42" s="46"/>
      <c r="Z42" s="46"/>
      <c r="AA42" s="47"/>
      <c r="AB42" s="48" t="s">
        <v>60</v>
      </c>
      <c r="AC42" s="46"/>
      <c r="AD42" s="46"/>
      <c r="AE42" s="47"/>
    </row>
    <row r="44" spans="1:34" ht="19.5" x14ac:dyDescent="0.25">
      <c r="A44" s="49" t="s">
        <v>61</v>
      </c>
      <c r="B44" s="50"/>
    </row>
    <row r="45" spans="1:34" ht="19.5" x14ac:dyDescent="0.3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66</v>
      </c>
    </row>
    <row r="46" spans="1:34" x14ac:dyDescent="0.25">
      <c r="A46" t="s">
        <v>67</v>
      </c>
      <c r="B46" t="s">
        <v>69</v>
      </c>
      <c r="C46">
        <v>100</v>
      </c>
      <c r="D46" t="s">
        <v>68</v>
      </c>
      <c r="E46" t="s">
        <v>68</v>
      </c>
    </row>
  </sheetData>
  <mergeCells count="71">
    <mergeCell ref="A44:B44"/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2024-08-05T14:36:57Z</dcterms:created>
  <dcterms:modified xsi:type="dcterms:W3CDTF">2024-08-06T08:07:01Z</dcterms:modified>
  <cp:category/>
</cp:coreProperties>
</file>