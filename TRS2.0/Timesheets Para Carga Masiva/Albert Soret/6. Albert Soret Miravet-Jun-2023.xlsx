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8823FAB5-21AD-4737-BDF2-650166A59E3E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6" i="1" l="1"/>
  <c r="AG35" i="1"/>
  <c r="AG34" i="1"/>
  <c r="AG33" i="1"/>
  <c r="AG32" i="1"/>
  <c r="AG31" i="1"/>
  <c r="X30" i="1"/>
  <c r="R30" i="1"/>
  <c r="AF29" i="1"/>
  <c r="AF30" i="1" s="1"/>
  <c r="AE29" i="1"/>
  <c r="AE30" i="1" s="1"/>
  <c r="AE37" i="1" s="1"/>
  <c r="AD29" i="1"/>
  <c r="AD30" i="1" s="1"/>
  <c r="AC29" i="1"/>
  <c r="AC30" i="1" s="1"/>
  <c r="AB29" i="1"/>
  <c r="AB30" i="1" s="1"/>
  <c r="Y29" i="1"/>
  <c r="Y30" i="1" s="1"/>
  <c r="Y37" i="1" s="1"/>
  <c r="X29" i="1"/>
  <c r="W29" i="1"/>
  <c r="W30" i="1" s="1"/>
  <c r="V29" i="1"/>
  <c r="V30" i="1" s="1"/>
  <c r="U29" i="1"/>
  <c r="U30" i="1" s="1"/>
  <c r="U37" i="1" s="1"/>
  <c r="R29" i="1"/>
  <c r="Q29" i="1"/>
  <c r="Q30" i="1" s="1"/>
  <c r="P29" i="1"/>
  <c r="P30" i="1" s="1"/>
  <c r="O29" i="1"/>
  <c r="O30" i="1" s="1"/>
  <c r="O37" i="1" s="1"/>
  <c r="N29" i="1"/>
  <c r="K29" i="1"/>
  <c r="K30" i="1" s="1"/>
  <c r="J29" i="1"/>
  <c r="J30" i="1" s="1"/>
  <c r="I29" i="1"/>
  <c r="I30" i="1" s="1"/>
  <c r="I37" i="1" s="1"/>
  <c r="H29" i="1"/>
  <c r="H30" i="1" s="1"/>
  <c r="C29" i="1"/>
  <c r="C30" i="1" s="1"/>
  <c r="AG28" i="1"/>
  <c r="AG27" i="1"/>
  <c r="AG26" i="1"/>
  <c r="AG25" i="1"/>
  <c r="AG24" i="1"/>
  <c r="AG23" i="1"/>
  <c r="AG29" i="1" s="1"/>
  <c r="H37" i="1" l="1"/>
  <c r="R37" i="1"/>
  <c r="X37" i="1"/>
  <c r="AD37" i="1"/>
  <c r="N30" i="1"/>
  <c r="N37" i="1" s="1"/>
  <c r="AG30" i="1"/>
  <c r="AG37" i="1" s="1"/>
  <c r="H16" i="1" s="1"/>
  <c r="P16" i="1"/>
  <c r="X16" i="1" s="1"/>
  <c r="J37" i="1"/>
  <c r="P37" i="1"/>
  <c r="V37" i="1"/>
  <c r="AB37" i="1"/>
  <c r="AF37" i="1"/>
  <c r="C37" i="1"/>
  <c r="K37" i="1"/>
  <c r="Q37" i="1"/>
  <c r="W37" i="1"/>
  <c r="AC37" i="1"/>
  <c r="AG38" i="1" l="1"/>
  <c r="AH24" i="1" l="1"/>
  <c r="AH27" i="1"/>
  <c r="AH25" i="1"/>
  <c r="AH23" i="1"/>
  <c r="AH26" i="1"/>
  <c r="AH28" i="1"/>
  <c r="AH29" i="1"/>
</calcChain>
</file>

<file path=xl/sharedStrings.xml><?xml version="1.0" encoding="utf-8"?>
<sst xmlns="http://schemas.openxmlformats.org/spreadsheetml/2006/main" count="87" uniqueCount="63">
  <si>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</si>
  <si>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</si>
  <si>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</si>
  <si>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</si>
  <si>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</si>
  <si>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</si>
  <si>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</si>
  <si>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</si>
  <si>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</si>
  <si>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</si>
  <si>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</si>
  <si>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</si>
  <si>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</si>
  <si>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</si>
  <si>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</si>
  <si>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</si>
  <si>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</si>
  <si>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</si>
  <si>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</si>
  <si>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</si>
  <si>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</si>
  <si>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</si>
  <si>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</si>
  <si>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</si>
  <si>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</si>
  <si>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</si>
  <si>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</si>
  <si>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</si>
  <si>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</si>
  <si>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</si>
  <si>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</si>
  <si>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</si>
  <si>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</si>
  <si>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</si>
  <si>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</si>
  <si>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</si>
  <si>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</si>
  <si>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</si>
  <si>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</si>
  <si>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</si>
  <si>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</si>
  <si>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15% Estimated:22.5 h</t>
  </si>
  <si>
    <t>PE101200 ETC-CA - Task 2.3.1.1 European climate change and impact indicators</t>
  </si>
  <si>
    <t>Dedicacion: 7% Estimated:10.5 h</t>
  </si>
  <si>
    <t>PE099400 GreenSCENT - WP3 Digital Demonstrators (iterative) Development</t>
  </si>
  <si>
    <t>Dedicacion: 10% Estimated:15 h</t>
  </si>
  <si>
    <t xml:space="preserve">PE121200 DE_340 - WP10 Co-designing evocative applications / use cases </t>
  </si>
  <si>
    <t>Dedicacion: 30% Estimated:45 h</t>
  </si>
  <si>
    <t>PE113900 ASPECT - WP03 Creation and evaluation of seamless climate information across space and time</t>
  </si>
  <si>
    <t>Dedicacion: 18% Estimated:27 h</t>
  </si>
  <si>
    <t>PE113900 ASPECT - WP04 Co-developing case studies with superusers and exploring the benefits</t>
  </si>
  <si>
    <t>Dedicacion: 20% Estimated:30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</si>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</sst>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3"/>
  <sheetViews>
    <sheetView tabSelected="1" zoomScale="70" zoomScaleNormal="70" workbookViewId="0">
      <selection activeCell="B44" sqref="B44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AG37</f>
        <v>150</v>
      </c>
      <c r="I16" s="28"/>
      <c r="K16" s="27" t="s">
        <v>18</v>
      </c>
      <c r="L16" s="19"/>
      <c r="M16" s="19"/>
      <c r="N16" s="19"/>
      <c r="O16" s="19"/>
      <c r="P16" s="29">
        <f>AG29</f>
        <v>150</v>
      </c>
      <c r="Q16" s="29"/>
      <c r="S16" s="27" t="s">
        <v>19</v>
      </c>
      <c r="T16" s="19"/>
      <c r="U16" s="19"/>
      <c r="V16" s="19"/>
      <c r="W16" s="19"/>
      <c r="X16" s="28">
        <f>(P16/7.5) *1</f>
        <v>20</v>
      </c>
      <c r="Y16" s="28"/>
    </row>
    <row r="19" spans="1:34" ht="19.5" x14ac:dyDescent="0.3">
      <c r="C19" s="2" t="s">
        <v>20</v>
      </c>
      <c r="D19" s="5" t="s">
        <v>22</v>
      </c>
      <c r="E19" s="8" t="s">
        <v>24</v>
      </c>
      <c r="F19" s="8" t="s">
        <v>26</v>
      </c>
      <c r="G19" s="11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8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8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11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4" t="s">
        <v>36</v>
      </c>
      <c r="AH19" s="35" t="s">
        <v>37</v>
      </c>
    </row>
    <row r="20" spans="1:34" ht="19.5" x14ac:dyDescent="0.3">
      <c r="C20" s="2" t="s">
        <v>21</v>
      </c>
      <c r="D20" s="5" t="s">
        <v>23</v>
      </c>
      <c r="E20" s="8" t="s">
        <v>25</v>
      </c>
      <c r="F20" s="8" t="s">
        <v>27</v>
      </c>
      <c r="G20" s="11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8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8">
        <v>17</v>
      </c>
      <c r="T20" s="8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11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1"/>
      <c r="E21" s="32"/>
      <c r="F21" s="32"/>
      <c r="G21" s="33"/>
      <c r="H21" s="30"/>
      <c r="I21" s="30"/>
      <c r="J21" s="30"/>
      <c r="K21" s="30"/>
      <c r="L21" s="32"/>
      <c r="M21" s="32"/>
      <c r="N21" s="30"/>
      <c r="O21" s="30"/>
      <c r="P21" s="30"/>
      <c r="Q21" s="30"/>
      <c r="R21" s="30"/>
      <c r="S21" s="32"/>
      <c r="T21" s="32"/>
      <c r="U21" s="30"/>
      <c r="V21" s="30"/>
      <c r="W21" s="30"/>
      <c r="X21" s="30"/>
      <c r="Y21" s="30"/>
      <c r="Z21" s="33"/>
      <c r="AA21" s="32"/>
      <c r="AB21" s="30"/>
      <c r="AC21" s="30"/>
      <c r="AD21" s="30"/>
      <c r="AE21" s="30"/>
      <c r="AF21" s="30"/>
      <c r="AG21" s="30"/>
      <c r="AH21" s="37"/>
    </row>
    <row r="22" spans="1:34" ht="19.5" x14ac:dyDescent="0.3">
      <c r="A22" s="38" t="s">
        <v>39</v>
      </c>
      <c r="B22" s="38"/>
      <c r="C22" s="30"/>
      <c r="D22" s="31"/>
      <c r="E22" s="32"/>
      <c r="F22" s="32"/>
      <c r="G22" s="33"/>
      <c r="H22" s="30"/>
      <c r="I22" s="30"/>
      <c r="J22" s="30"/>
      <c r="K22" s="30"/>
      <c r="L22" s="32"/>
      <c r="M22" s="32"/>
      <c r="N22" s="30"/>
      <c r="O22" s="30"/>
      <c r="P22" s="30"/>
      <c r="Q22" s="30"/>
      <c r="R22" s="30"/>
      <c r="S22" s="32"/>
      <c r="T22" s="32"/>
      <c r="U22" s="30"/>
      <c r="V22" s="30"/>
      <c r="W22" s="30"/>
      <c r="X22" s="30"/>
      <c r="Y22" s="30"/>
      <c r="Z22" s="33"/>
      <c r="AA22" s="32"/>
      <c r="AB22" s="30"/>
      <c r="AC22" s="30"/>
      <c r="AD22" s="30"/>
      <c r="AE22" s="30"/>
      <c r="AF22" s="30"/>
      <c r="AG22" s="30"/>
      <c r="AH22" s="37"/>
    </row>
    <row r="23" spans="1:34" ht="19.5" x14ac:dyDescent="0.3">
      <c r="A23" s="15" t="s">
        <v>40</v>
      </c>
      <c r="B23" s="15" t="s">
        <v>41</v>
      </c>
      <c r="C23" s="3">
        <v>1.5</v>
      </c>
      <c r="D23" s="6"/>
      <c r="E23" s="9"/>
      <c r="F23" s="9"/>
      <c r="G23" s="12"/>
      <c r="H23" s="3">
        <v>1.5</v>
      </c>
      <c r="I23" s="3">
        <v>1.5</v>
      </c>
      <c r="J23" s="3">
        <v>1.5</v>
      </c>
      <c r="K23" s="3">
        <v>1.5</v>
      </c>
      <c r="L23" s="9"/>
      <c r="M23" s="9"/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9"/>
      <c r="T23" s="9"/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12"/>
      <c r="AA23" s="9"/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f t="shared" ref="AG23:AG28" si="0">SUM(C23:AF23)</f>
        <v>22.5</v>
      </c>
      <c r="AH23" s="16">
        <f t="shared" ref="AH23:AH29" si="1">AG23/$AG$38</f>
        <v>0.15</v>
      </c>
    </row>
    <row r="24" spans="1:34" ht="19.5" x14ac:dyDescent="0.3">
      <c r="A24" s="15" t="s">
        <v>42</v>
      </c>
      <c r="B24" s="15" t="s">
        <v>43</v>
      </c>
      <c r="C24" s="3"/>
      <c r="D24" s="6"/>
      <c r="E24" s="9"/>
      <c r="F24" s="9"/>
      <c r="G24" s="12"/>
      <c r="H24" s="3"/>
      <c r="I24" s="3"/>
      <c r="J24" s="3"/>
      <c r="K24" s="3"/>
      <c r="L24" s="9"/>
      <c r="M24" s="9"/>
      <c r="N24" s="3">
        <v>1</v>
      </c>
      <c r="O24" s="3">
        <v>1</v>
      </c>
      <c r="P24" s="3">
        <v>1</v>
      </c>
      <c r="Q24" s="3">
        <v>1</v>
      </c>
      <c r="R24" s="3">
        <v>1.5</v>
      </c>
      <c r="S24" s="9"/>
      <c r="T24" s="9"/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12"/>
      <c r="AA24" s="9"/>
      <c r="AB24" s="3"/>
      <c r="AC24" s="3"/>
      <c r="AD24" s="3"/>
      <c r="AE24" s="3"/>
      <c r="AF24" s="3"/>
      <c r="AG24" s="3">
        <f t="shared" si="0"/>
        <v>10.5</v>
      </c>
      <c r="AH24" s="16">
        <f t="shared" si="1"/>
        <v>7.0000000000000007E-2</v>
      </c>
    </row>
    <row r="25" spans="1:34" ht="19.5" x14ac:dyDescent="0.3">
      <c r="A25" s="15" t="s">
        <v>44</v>
      </c>
      <c r="B25" s="15" t="s">
        <v>45</v>
      </c>
      <c r="C25" s="3">
        <v>1</v>
      </c>
      <c r="D25" s="6"/>
      <c r="E25" s="9"/>
      <c r="F25" s="9"/>
      <c r="G25" s="12"/>
      <c r="H25" s="3">
        <v>1</v>
      </c>
      <c r="I25" s="3">
        <v>1</v>
      </c>
      <c r="J25" s="3">
        <v>1</v>
      </c>
      <c r="K25" s="3">
        <v>1</v>
      </c>
      <c r="L25" s="9"/>
      <c r="M25" s="9"/>
      <c r="N25" s="3"/>
      <c r="O25" s="3">
        <v>1</v>
      </c>
      <c r="P25" s="3">
        <v>1</v>
      </c>
      <c r="Q25" s="3">
        <v>1</v>
      </c>
      <c r="R25" s="3"/>
      <c r="S25" s="9"/>
      <c r="T25" s="9"/>
      <c r="U25" s="3"/>
      <c r="V25" s="3">
        <v>1</v>
      </c>
      <c r="W25" s="3">
        <v>1</v>
      </c>
      <c r="X25" s="3">
        <v>1</v>
      </c>
      <c r="Y25" s="3"/>
      <c r="Z25" s="12"/>
      <c r="AA25" s="9"/>
      <c r="AB25" s="3">
        <v>1</v>
      </c>
      <c r="AC25" s="3">
        <v>1</v>
      </c>
      <c r="AD25" s="3">
        <v>1</v>
      </c>
      <c r="AE25" s="3">
        <v>1</v>
      </c>
      <c r="AF25" s="3"/>
      <c r="AG25" s="3">
        <f t="shared" si="0"/>
        <v>15</v>
      </c>
      <c r="AH25" s="16">
        <f t="shared" si="1"/>
        <v>0.1</v>
      </c>
    </row>
    <row r="26" spans="1:34" ht="19.5" x14ac:dyDescent="0.3">
      <c r="A26" s="15" t="s">
        <v>46</v>
      </c>
      <c r="B26" s="15" t="s">
        <v>47</v>
      </c>
      <c r="C26" s="3">
        <v>2.5</v>
      </c>
      <c r="D26" s="6"/>
      <c r="E26" s="9"/>
      <c r="F26" s="9"/>
      <c r="G26" s="12"/>
      <c r="H26" s="3">
        <v>2.5</v>
      </c>
      <c r="I26" s="3">
        <v>2.5</v>
      </c>
      <c r="J26" s="3">
        <v>2.5</v>
      </c>
      <c r="K26" s="3">
        <v>2.5</v>
      </c>
      <c r="L26" s="9"/>
      <c r="M26" s="9"/>
      <c r="N26" s="3">
        <v>2.5</v>
      </c>
      <c r="O26" s="3">
        <v>2.5</v>
      </c>
      <c r="P26" s="3">
        <v>2.5</v>
      </c>
      <c r="Q26" s="3">
        <v>2.5</v>
      </c>
      <c r="R26" s="3">
        <v>2.5</v>
      </c>
      <c r="S26" s="9"/>
      <c r="T26" s="9"/>
      <c r="U26" s="3">
        <v>2</v>
      </c>
      <c r="V26" s="3">
        <v>2</v>
      </c>
      <c r="W26" s="3">
        <v>2</v>
      </c>
      <c r="X26" s="3">
        <v>2</v>
      </c>
      <c r="Y26" s="3">
        <v>2</v>
      </c>
      <c r="Z26" s="12"/>
      <c r="AA26" s="9"/>
      <c r="AB26" s="3">
        <v>2</v>
      </c>
      <c r="AC26" s="3">
        <v>2</v>
      </c>
      <c r="AD26" s="3">
        <v>2</v>
      </c>
      <c r="AE26" s="3">
        <v>2</v>
      </c>
      <c r="AF26" s="3">
        <v>2</v>
      </c>
      <c r="AG26" s="3">
        <f t="shared" si="0"/>
        <v>45</v>
      </c>
      <c r="AH26" s="16">
        <f t="shared" si="1"/>
        <v>0.3</v>
      </c>
    </row>
    <row r="27" spans="1:34" ht="19.5" x14ac:dyDescent="0.3">
      <c r="A27" s="15" t="s">
        <v>48</v>
      </c>
      <c r="B27" s="15" t="s">
        <v>49</v>
      </c>
      <c r="C27" s="3">
        <v>1</v>
      </c>
      <c r="D27" s="6"/>
      <c r="E27" s="9"/>
      <c r="F27" s="9"/>
      <c r="G27" s="12"/>
      <c r="H27" s="3">
        <v>1</v>
      </c>
      <c r="I27" s="3">
        <v>1</v>
      </c>
      <c r="J27" s="3">
        <v>1</v>
      </c>
      <c r="K27" s="3">
        <v>1</v>
      </c>
      <c r="L27" s="9"/>
      <c r="M27" s="9"/>
      <c r="N27" s="3">
        <v>1</v>
      </c>
      <c r="O27" s="3">
        <v>1</v>
      </c>
      <c r="P27" s="3">
        <v>1</v>
      </c>
      <c r="Q27" s="3">
        <v>1</v>
      </c>
      <c r="R27" s="3">
        <v>1.5</v>
      </c>
      <c r="S27" s="9"/>
      <c r="T27" s="9"/>
      <c r="U27" s="3">
        <v>1.5</v>
      </c>
      <c r="V27" s="3">
        <v>1</v>
      </c>
      <c r="W27" s="3">
        <v>1</v>
      </c>
      <c r="X27" s="3">
        <v>1</v>
      </c>
      <c r="Y27" s="3">
        <v>2</v>
      </c>
      <c r="Z27" s="12"/>
      <c r="AA27" s="9"/>
      <c r="AB27" s="3">
        <v>2</v>
      </c>
      <c r="AC27" s="3">
        <v>2</v>
      </c>
      <c r="AD27" s="3">
        <v>2</v>
      </c>
      <c r="AE27" s="3">
        <v>2</v>
      </c>
      <c r="AF27" s="3">
        <v>2</v>
      </c>
      <c r="AG27" s="3">
        <f t="shared" si="0"/>
        <v>27</v>
      </c>
      <c r="AH27" s="16">
        <f t="shared" si="1"/>
        <v>0.18</v>
      </c>
    </row>
    <row r="28" spans="1:34" ht="19.5" x14ac:dyDescent="0.3">
      <c r="A28" s="15" t="s">
        <v>50</v>
      </c>
      <c r="B28" s="15" t="s">
        <v>51</v>
      </c>
      <c r="C28" s="3">
        <v>1.5</v>
      </c>
      <c r="D28" s="6"/>
      <c r="E28" s="9"/>
      <c r="F28" s="9"/>
      <c r="G28" s="12"/>
      <c r="H28" s="3">
        <v>1.5</v>
      </c>
      <c r="I28" s="3">
        <v>1.5</v>
      </c>
      <c r="J28" s="3">
        <v>1.5</v>
      </c>
      <c r="K28" s="3">
        <v>1.5</v>
      </c>
      <c r="L28" s="9"/>
      <c r="M28" s="9"/>
      <c r="N28" s="3">
        <v>2</v>
      </c>
      <c r="O28" s="3">
        <v>1</v>
      </c>
      <c r="P28" s="3">
        <v>1</v>
      </c>
      <c r="Q28" s="3">
        <v>1</v>
      </c>
      <c r="R28" s="3">
        <v>1</v>
      </c>
      <c r="S28" s="9"/>
      <c r="T28" s="9"/>
      <c r="U28" s="3">
        <v>2</v>
      </c>
      <c r="V28" s="3">
        <v>1.5</v>
      </c>
      <c r="W28" s="3">
        <v>1.5</v>
      </c>
      <c r="X28" s="3">
        <v>1.5</v>
      </c>
      <c r="Y28" s="3">
        <v>1.5</v>
      </c>
      <c r="Z28" s="12"/>
      <c r="AA28" s="9"/>
      <c r="AB28" s="3">
        <v>1.5</v>
      </c>
      <c r="AC28" s="3">
        <v>1.5</v>
      </c>
      <c r="AD28" s="3">
        <v>1.5</v>
      </c>
      <c r="AE28" s="3">
        <v>1.5</v>
      </c>
      <c r="AF28" s="3">
        <v>2.5</v>
      </c>
      <c r="AG28" s="3">
        <f t="shared" si="0"/>
        <v>30</v>
      </c>
      <c r="AH28" s="16">
        <f t="shared" si="1"/>
        <v>0.2</v>
      </c>
    </row>
    <row r="29" spans="1:34" ht="19.5" x14ac:dyDescent="0.3">
      <c r="A29" s="39" t="s">
        <v>52</v>
      </c>
      <c r="B29" s="40"/>
      <c r="C29" s="4">
        <f>SUM(C23:C28)</f>
        <v>7.5</v>
      </c>
      <c r="D29" s="7"/>
      <c r="E29" s="10"/>
      <c r="F29" s="10"/>
      <c r="G29" s="13"/>
      <c r="H29" s="4">
        <f>SUM(H23:H28)</f>
        <v>7.5</v>
      </c>
      <c r="I29" s="4">
        <f>SUM(I23:I28)</f>
        <v>7.5</v>
      </c>
      <c r="J29" s="4">
        <f>SUM(J23:J28)</f>
        <v>7.5</v>
      </c>
      <c r="K29" s="4">
        <f>SUM(K23:K28)</f>
        <v>7.5</v>
      </c>
      <c r="L29" s="10"/>
      <c r="M29" s="10"/>
      <c r="N29" s="4">
        <f>SUM(N23:N28)</f>
        <v>7.5</v>
      </c>
      <c r="O29" s="4">
        <f>SUM(O23:O28)</f>
        <v>7.5</v>
      </c>
      <c r="P29" s="4">
        <f>SUM(P23:P28)</f>
        <v>7.5</v>
      </c>
      <c r="Q29" s="4">
        <f>SUM(Q23:Q28)</f>
        <v>7.5</v>
      </c>
      <c r="R29" s="4">
        <f>SUM(R23:R28)</f>
        <v>7.5</v>
      </c>
      <c r="S29" s="10"/>
      <c r="T29" s="10"/>
      <c r="U29" s="4">
        <f>SUM(U23:U28)</f>
        <v>7.5</v>
      </c>
      <c r="V29" s="4">
        <f>SUM(V23:V28)</f>
        <v>7.5</v>
      </c>
      <c r="W29" s="4">
        <f>SUM(W23:W28)</f>
        <v>7.5</v>
      </c>
      <c r="X29" s="4">
        <f>SUM(X23:X28)</f>
        <v>7.5</v>
      </c>
      <c r="Y29" s="4">
        <f>SUM(Y23:Y28)</f>
        <v>7.5</v>
      </c>
      <c r="Z29" s="13"/>
      <c r="AA29" s="10"/>
      <c r="AB29" s="4">
        <f t="shared" ref="AB29:AG29" si="2">SUM(AB23:AB28)</f>
        <v>7.5</v>
      </c>
      <c r="AC29" s="4">
        <f t="shared" si="2"/>
        <v>7.5</v>
      </c>
      <c r="AD29" s="4">
        <f t="shared" si="2"/>
        <v>7.5</v>
      </c>
      <c r="AE29" s="4">
        <f t="shared" si="2"/>
        <v>7.5</v>
      </c>
      <c r="AF29" s="4">
        <f t="shared" si="2"/>
        <v>7.5</v>
      </c>
      <c r="AG29" s="4">
        <f t="shared" si="2"/>
        <v>150</v>
      </c>
      <c r="AH29" s="14">
        <f t="shared" si="1"/>
        <v>1</v>
      </c>
    </row>
    <row r="30" spans="1:34" ht="19.5" x14ac:dyDescent="0.3">
      <c r="A30" s="41" t="s">
        <v>53</v>
      </c>
      <c r="B30" s="41"/>
      <c r="C30" s="3">
        <f>7.5-C29</f>
        <v>0</v>
      </c>
      <c r="D30" s="6"/>
      <c r="E30" s="9"/>
      <c r="F30" s="9"/>
      <c r="G30" s="12"/>
      <c r="H30" s="3">
        <f>7.5-H29</f>
        <v>0</v>
      </c>
      <c r="I30" s="3">
        <f>7.5-I29</f>
        <v>0</v>
      </c>
      <c r="J30" s="3">
        <f>7.5-J29</f>
        <v>0</v>
      </c>
      <c r="K30" s="3">
        <f>7.5-K29</f>
        <v>0</v>
      </c>
      <c r="L30" s="9"/>
      <c r="M30" s="9"/>
      <c r="N30" s="3">
        <f>7.5-N29</f>
        <v>0</v>
      </c>
      <c r="O30" s="3">
        <f>7.5-O29</f>
        <v>0</v>
      </c>
      <c r="P30" s="3">
        <f>7.5-P29</f>
        <v>0</v>
      </c>
      <c r="Q30" s="3">
        <f>7.5-Q29</f>
        <v>0</v>
      </c>
      <c r="R30" s="3">
        <f>7.5-R29</f>
        <v>0</v>
      </c>
      <c r="S30" s="9"/>
      <c r="T30" s="9"/>
      <c r="U30" s="3">
        <f>7.5-U29</f>
        <v>0</v>
      </c>
      <c r="V30" s="3">
        <f>7.5-V29</f>
        <v>0</v>
      </c>
      <c r="W30" s="3">
        <f>7.5-W29</f>
        <v>0</v>
      </c>
      <c r="X30" s="3">
        <f>7.5-X29</f>
        <v>0</v>
      </c>
      <c r="Y30" s="3">
        <f>7.5-Y29</f>
        <v>0</v>
      </c>
      <c r="Z30" s="12"/>
      <c r="AA30" s="9"/>
      <c r="AB30" s="3">
        <f>7.5-AB29</f>
        <v>0</v>
      </c>
      <c r="AC30" s="3">
        <f>7.5-AC29</f>
        <v>0</v>
      </c>
      <c r="AD30" s="3">
        <f>7.5-AD29</f>
        <v>0</v>
      </c>
      <c r="AE30" s="3">
        <f>7.5-AE29</f>
        <v>0</v>
      </c>
      <c r="AF30" s="3">
        <f>7.5-AF29</f>
        <v>0</v>
      </c>
      <c r="AG30" s="3">
        <f t="shared" ref="AG30:AG36" si="3">SUM(C30:AF30)</f>
        <v>0</v>
      </c>
    </row>
    <row r="31" spans="1:34" ht="19.5" x14ac:dyDescent="0.3">
      <c r="A31" s="41"/>
      <c r="B31" s="41"/>
      <c r="C31" s="3"/>
      <c r="D31" s="6"/>
      <c r="E31" s="9"/>
      <c r="F31" s="9"/>
      <c r="G31" s="12"/>
      <c r="H31" s="3"/>
      <c r="I31" s="3"/>
      <c r="J31" s="3"/>
      <c r="K31" s="3"/>
      <c r="L31" s="9"/>
      <c r="M31" s="9"/>
      <c r="N31" s="3"/>
      <c r="O31" s="3"/>
      <c r="P31" s="3"/>
      <c r="Q31" s="3"/>
      <c r="R31" s="3"/>
      <c r="S31" s="9"/>
      <c r="T31" s="9"/>
      <c r="U31" s="3"/>
      <c r="V31" s="3"/>
      <c r="W31" s="3"/>
      <c r="X31" s="3"/>
      <c r="Y31" s="3"/>
      <c r="Z31" s="12"/>
      <c r="AA31" s="9"/>
      <c r="AB31" s="3"/>
      <c r="AC31" s="3"/>
      <c r="AD31" s="3"/>
      <c r="AE31" s="3"/>
      <c r="AF31" s="3"/>
      <c r="AG31" s="3">
        <f t="shared" si="3"/>
        <v>0</v>
      </c>
    </row>
    <row r="32" spans="1:34" ht="19.5" x14ac:dyDescent="0.3">
      <c r="A32" s="41"/>
      <c r="B32" s="41"/>
      <c r="C32" s="3"/>
      <c r="D32" s="6"/>
      <c r="E32" s="9"/>
      <c r="F32" s="9"/>
      <c r="G32" s="12"/>
      <c r="H32" s="3"/>
      <c r="I32" s="3"/>
      <c r="J32" s="3"/>
      <c r="K32" s="3"/>
      <c r="L32" s="9"/>
      <c r="M32" s="9"/>
      <c r="N32" s="3"/>
      <c r="O32" s="3"/>
      <c r="P32" s="3"/>
      <c r="Q32" s="3"/>
      <c r="R32" s="3"/>
      <c r="S32" s="9"/>
      <c r="T32" s="9"/>
      <c r="U32" s="3"/>
      <c r="V32" s="3"/>
      <c r="W32" s="3"/>
      <c r="X32" s="3"/>
      <c r="Y32" s="3"/>
      <c r="Z32" s="12"/>
      <c r="AA32" s="9"/>
      <c r="AB32" s="3"/>
      <c r="AC32" s="3"/>
      <c r="AD32" s="3"/>
      <c r="AE32" s="3"/>
      <c r="AF32" s="3"/>
      <c r="AG32" s="3">
        <f t="shared" si="3"/>
        <v>0</v>
      </c>
    </row>
    <row r="33" spans="1:33" ht="19.5" x14ac:dyDescent="0.3">
      <c r="A33" s="41"/>
      <c r="B33" s="41"/>
      <c r="C33" s="3"/>
      <c r="D33" s="6"/>
      <c r="E33" s="9"/>
      <c r="F33" s="9"/>
      <c r="G33" s="12"/>
      <c r="H33" s="3"/>
      <c r="I33" s="3"/>
      <c r="J33" s="3"/>
      <c r="K33" s="3"/>
      <c r="L33" s="9"/>
      <c r="M33" s="9"/>
      <c r="N33" s="3"/>
      <c r="O33" s="3"/>
      <c r="P33" s="3"/>
      <c r="Q33" s="3"/>
      <c r="R33" s="3"/>
      <c r="S33" s="9"/>
      <c r="T33" s="9"/>
      <c r="U33" s="3"/>
      <c r="V33" s="3"/>
      <c r="W33" s="3"/>
      <c r="X33" s="3"/>
      <c r="Y33" s="3"/>
      <c r="Z33" s="12"/>
      <c r="AA33" s="9"/>
      <c r="AB33" s="3"/>
      <c r="AC33" s="3"/>
      <c r="AD33" s="3"/>
      <c r="AE33" s="3"/>
      <c r="AF33" s="3"/>
      <c r="AG33" s="3">
        <f t="shared" si="3"/>
        <v>0</v>
      </c>
    </row>
    <row r="34" spans="1:33" ht="19.5" x14ac:dyDescent="0.3">
      <c r="A34" s="41" t="s">
        <v>54</v>
      </c>
      <c r="B34" s="41"/>
      <c r="C34" s="3"/>
      <c r="D34" s="6"/>
      <c r="E34" s="9"/>
      <c r="F34" s="9"/>
      <c r="G34" s="12"/>
      <c r="H34" s="3"/>
      <c r="I34" s="3"/>
      <c r="J34" s="3"/>
      <c r="K34" s="3"/>
      <c r="L34" s="9"/>
      <c r="M34" s="9"/>
      <c r="N34" s="3"/>
      <c r="O34" s="3"/>
      <c r="P34" s="3"/>
      <c r="Q34" s="3"/>
      <c r="R34" s="3"/>
      <c r="S34" s="9"/>
      <c r="T34" s="9"/>
      <c r="U34" s="3"/>
      <c r="V34" s="3"/>
      <c r="W34" s="3"/>
      <c r="X34" s="3"/>
      <c r="Y34" s="3"/>
      <c r="Z34" s="12"/>
      <c r="AA34" s="9"/>
      <c r="AB34" s="3"/>
      <c r="AC34" s="3"/>
      <c r="AD34" s="3"/>
      <c r="AE34" s="3"/>
      <c r="AF34" s="3"/>
      <c r="AG34" s="3">
        <f t="shared" si="3"/>
        <v>0</v>
      </c>
    </row>
    <row r="35" spans="1:33" ht="19.5" x14ac:dyDescent="0.3">
      <c r="A35" s="41" t="s">
        <v>55</v>
      </c>
      <c r="B35" s="41"/>
      <c r="C35" s="3"/>
      <c r="D35" s="6"/>
      <c r="E35" s="9"/>
      <c r="F35" s="9"/>
      <c r="G35" s="12"/>
      <c r="H35" s="3"/>
      <c r="I35" s="3"/>
      <c r="J35" s="3"/>
      <c r="K35" s="3"/>
      <c r="L35" s="9"/>
      <c r="M35" s="9"/>
      <c r="N35" s="3"/>
      <c r="O35" s="3"/>
      <c r="P35" s="3"/>
      <c r="Q35" s="3"/>
      <c r="R35" s="3"/>
      <c r="S35" s="9"/>
      <c r="T35" s="9"/>
      <c r="U35" s="3"/>
      <c r="V35" s="3"/>
      <c r="W35" s="3"/>
      <c r="X35" s="3"/>
      <c r="Y35" s="3"/>
      <c r="Z35" s="12"/>
      <c r="AA35" s="9"/>
      <c r="AB35" s="3"/>
      <c r="AC35" s="3"/>
      <c r="AD35" s="3"/>
      <c r="AE35" s="3"/>
      <c r="AF35" s="3"/>
      <c r="AG35" s="3">
        <f t="shared" si="3"/>
        <v>0</v>
      </c>
    </row>
    <row r="36" spans="1:33" ht="19.5" x14ac:dyDescent="0.3">
      <c r="A36" s="41" t="s">
        <v>56</v>
      </c>
      <c r="B36" s="41"/>
      <c r="C36" s="3"/>
      <c r="D36" s="6"/>
      <c r="E36" s="9"/>
      <c r="F36" s="9"/>
      <c r="G36" s="12"/>
      <c r="H36" s="3"/>
      <c r="I36" s="3"/>
      <c r="J36" s="3"/>
      <c r="K36" s="3"/>
      <c r="L36" s="9"/>
      <c r="M36" s="9"/>
      <c r="N36" s="3"/>
      <c r="O36" s="3"/>
      <c r="P36" s="3"/>
      <c r="Q36" s="3"/>
      <c r="R36" s="3"/>
      <c r="S36" s="9"/>
      <c r="T36" s="9"/>
      <c r="U36" s="3"/>
      <c r="V36" s="3"/>
      <c r="W36" s="3"/>
      <c r="X36" s="3"/>
      <c r="Y36" s="3"/>
      <c r="Z36" s="12"/>
      <c r="AA36" s="9"/>
      <c r="AB36" s="3"/>
      <c r="AC36" s="3"/>
      <c r="AD36" s="3"/>
      <c r="AE36" s="3"/>
      <c r="AF36" s="3"/>
      <c r="AG36" s="3">
        <f t="shared" si="3"/>
        <v>0</v>
      </c>
    </row>
    <row r="37" spans="1:33" ht="19.5" x14ac:dyDescent="0.3">
      <c r="A37" s="15" t="s">
        <v>57</v>
      </c>
      <c r="B37" s="15"/>
      <c r="C37" s="4">
        <f>SUM(C29:C33)</f>
        <v>7.5</v>
      </c>
      <c r="D37" s="7"/>
      <c r="E37" s="10"/>
      <c r="F37" s="10"/>
      <c r="G37" s="13"/>
      <c r="H37" s="4">
        <f>SUM(H29:H33)</f>
        <v>7.5</v>
      </c>
      <c r="I37" s="4">
        <f>SUM(I29:I33)</f>
        <v>7.5</v>
      </c>
      <c r="J37" s="4">
        <f>SUM(J29:J33)</f>
        <v>7.5</v>
      </c>
      <c r="K37" s="4">
        <f>SUM(K29:K33)</f>
        <v>7.5</v>
      </c>
      <c r="L37" s="10"/>
      <c r="M37" s="10"/>
      <c r="N37" s="4">
        <f>SUM(N29:N33)</f>
        <v>7.5</v>
      </c>
      <c r="O37" s="4">
        <f>SUM(O29:O33)</f>
        <v>7.5</v>
      </c>
      <c r="P37" s="4">
        <f>SUM(P29:P33)</f>
        <v>7.5</v>
      </c>
      <c r="Q37" s="4">
        <f>SUM(Q29:Q33)</f>
        <v>7.5</v>
      </c>
      <c r="R37" s="4">
        <f>SUM(R29:R33)</f>
        <v>7.5</v>
      </c>
      <c r="S37" s="10"/>
      <c r="T37" s="10"/>
      <c r="U37" s="4">
        <f>SUM(U29:U33)</f>
        <v>7.5</v>
      </c>
      <c r="V37" s="4">
        <f>SUM(V29:V33)</f>
        <v>7.5</v>
      </c>
      <c r="W37" s="4">
        <f>SUM(W29:W33)</f>
        <v>7.5</v>
      </c>
      <c r="X37" s="4">
        <f>SUM(X29:X33)</f>
        <v>7.5</v>
      </c>
      <c r="Y37" s="4">
        <f>SUM(Y29:Y33)</f>
        <v>7.5</v>
      </c>
      <c r="Z37" s="13"/>
      <c r="AA37" s="10"/>
      <c r="AB37" s="4">
        <f t="shared" ref="AB37:AG37" si="4">SUM(AB29:AB33)</f>
        <v>7.5</v>
      </c>
      <c r="AC37" s="4">
        <f t="shared" si="4"/>
        <v>7.5</v>
      </c>
      <c r="AD37" s="4">
        <f t="shared" si="4"/>
        <v>7.5</v>
      </c>
      <c r="AE37" s="4">
        <f t="shared" si="4"/>
        <v>7.5</v>
      </c>
      <c r="AF37" s="4">
        <f t="shared" si="4"/>
        <v>7.5</v>
      </c>
      <c r="AG37" s="4">
        <f t="shared" si="4"/>
        <v>150</v>
      </c>
    </row>
    <row r="38" spans="1:33" ht="19.5" x14ac:dyDescent="0.3">
      <c r="A38" s="15" t="s">
        <v>58</v>
      </c>
      <c r="B38" s="15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2">
        <f>SUM(AG34:AG37)</f>
        <v>150</v>
      </c>
    </row>
    <row r="41" spans="1:33" x14ac:dyDescent="0.25">
      <c r="A41" s="35" t="s">
        <v>59</v>
      </c>
      <c r="B41" s="35" t="s">
        <v>60</v>
      </c>
      <c r="W41" s="43" t="s">
        <v>61</v>
      </c>
      <c r="X41" s="44"/>
      <c r="Y41" s="44"/>
      <c r="Z41" s="44"/>
      <c r="AA41" s="45"/>
      <c r="AB41" s="43" t="s">
        <v>9</v>
      </c>
      <c r="AC41" s="44"/>
      <c r="AD41" s="44"/>
      <c r="AE41" s="45"/>
    </row>
    <row r="42" spans="1:33" x14ac:dyDescent="0.25">
      <c r="A42" s="42"/>
      <c r="B42" s="42"/>
      <c r="W42" s="46"/>
      <c r="X42" s="47"/>
      <c r="Y42" s="47"/>
      <c r="Z42" s="47"/>
      <c r="AA42" s="48"/>
      <c r="AB42" s="46"/>
      <c r="AC42" s="47"/>
      <c r="AD42" s="47"/>
      <c r="AE42" s="48"/>
    </row>
    <row r="43" spans="1:33" ht="19.5" x14ac:dyDescent="0.25">
      <c r="A43" s="36"/>
      <c r="B43" s="17">
        <v>45134</v>
      </c>
      <c r="W43" s="49"/>
      <c r="X43" s="50"/>
      <c r="Y43" s="50"/>
      <c r="Z43" s="50"/>
      <c r="AA43" s="51"/>
      <c r="AB43" s="52" t="s">
        <v>62</v>
      </c>
      <c r="AC43" s="50"/>
      <c r="AD43" s="50"/>
      <c r="AE43" s="51"/>
    </row>
  </sheetData>
  <mergeCells count="69">
    <mergeCell ref="A34:B34"/>
    <mergeCell ref="A35:B35"/>
    <mergeCell ref="A36:B36"/>
    <mergeCell ref="C38:AF38"/>
    <mergeCell ref="A41:A43"/>
    <mergeCell ref="B41:B42"/>
    <mergeCell ref="W41:AA43"/>
    <mergeCell ref="AB41:AE42"/>
    <mergeCell ref="AB43:AE43"/>
    <mergeCell ref="A29:B29"/>
    <mergeCell ref="A30:B30"/>
    <mergeCell ref="A31:B31"/>
    <mergeCell ref="A32:B32"/>
    <mergeCell ref="A33:B33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2024-08-05T13:55:32Z</dcterms:created>
  <dcterms:modified xsi:type="dcterms:W3CDTF">2024-08-06T08:04:33Z</dcterms:modified>
  <cp:category/>
</cp:coreProperties>
</file>