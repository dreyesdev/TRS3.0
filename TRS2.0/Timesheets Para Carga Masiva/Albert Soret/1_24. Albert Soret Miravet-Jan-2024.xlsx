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erteki\Downloads\Timesheets 2023\Albert Soret\New timesheets\"/>
    </mc:Choice>
  </mc:AlternateContent>
  <xr:revisionPtr revIDLastSave="0" documentId="13_ncr:1_{91C2F71C-2487-43D3-9C00-2032193096A4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7" i="1" l="1"/>
  <c r="AH36" i="1"/>
  <c r="AH35" i="1"/>
  <c r="AH34" i="1"/>
  <c r="AH33" i="1"/>
  <c r="AH32" i="1"/>
  <c r="AG30" i="1"/>
  <c r="AF30" i="1"/>
  <c r="AF31" i="1" s="1"/>
  <c r="AF38" i="1" s="1"/>
  <c r="AE30" i="1"/>
  <c r="AB30" i="1"/>
  <c r="AA30" i="1"/>
  <c r="Z30" i="1"/>
  <c r="Z31" i="1" s="1"/>
  <c r="Z38" i="1" s="1"/>
  <c r="Y30" i="1"/>
  <c r="X30" i="1"/>
  <c r="U30" i="1"/>
  <c r="T30" i="1"/>
  <c r="T31" i="1" s="1"/>
  <c r="T38" i="1" s="1"/>
  <c r="S30" i="1"/>
  <c r="R30" i="1"/>
  <c r="Q30" i="1"/>
  <c r="N30" i="1"/>
  <c r="N31" i="1" s="1"/>
  <c r="N38" i="1" s="1"/>
  <c r="M30" i="1"/>
  <c r="L30" i="1"/>
  <c r="K30" i="1"/>
  <c r="J30" i="1"/>
  <c r="J31" i="1" s="1"/>
  <c r="J38" i="1" s="1"/>
  <c r="G30" i="1"/>
  <c r="F30" i="1"/>
  <c r="E30" i="1"/>
  <c r="D30" i="1"/>
  <c r="D31" i="1" s="1"/>
  <c r="AH29" i="1"/>
  <c r="AH28" i="1"/>
  <c r="AH27" i="1"/>
  <c r="AH26" i="1"/>
  <c r="AH25" i="1"/>
  <c r="AH24" i="1"/>
  <c r="AH23" i="1"/>
  <c r="D38" i="1" l="1"/>
  <c r="Q38" i="1"/>
  <c r="E31" i="1"/>
  <c r="K31" i="1"/>
  <c r="K38" i="1" s="1"/>
  <c r="Q31" i="1"/>
  <c r="U31" i="1"/>
  <c r="U38" i="1" s="1"/>
  <c r="AA31" i="1"/>
  <c r="AA38" i="1" s="1"/>
  <c r="AG31" i="1"/>
  <c r="AG38" i="1" s="1"/>
  <c r="AH30" i="1"/>
  <c r="F31" i="1"/>
  <c r="F38" i="1" s="1"/>
  <c r="L31" i="1"/>
  <c r="L38" i="1" s="1"/>
  <c r="R31" i="1"/>
  <c r="R38" i="1" s="1"/>
  <c r="X31" i="1"/>
  <c r="X38" i="1" s="1"/>
  <c r="AB31" i="1"/>
  <c r="AB38" i="1" s="1"/>
  <c r="G31" i="1"/>
  <c r="G38" i="1" s="1"/>
  <c r="M31" i="1"/>
  <c r="M38" i="1" s="1"/>
  <c r="S31" i="1"/>
  <c r="S38" i="1" s="1"/>
  <c r="Y31" i="1"/>
  <c r="Y38" i="1" s="1"/>
  <c r="AE31" i="1"/>
  <c r="AE38" i="1" s="1"/>
  <c r="AH31" i="1" l="1"/>
  <c r="P16" i="1"/>
  <c r="X16" i="1" s="1"/>
  <c r="AH38" i="1"/>
  <c r="E38" i="1"/>
  <c r="H16" i="1" l="1"/>
  <c r="AH39" i="1"/>
  <c r="AI28" i="1" l="1"/>
  <c r="AI26" i="1"/>
  <c r="AI24" i="1"/>
  <c r="AI25" i="1"/>
  <c r="AI29" i="1"/>
  <c r="AI23" i="1"/>
  <c r="AI27" i="1"/>
  <c r="AI30" i="1"/>
</calcChain>
</file>

<file path=xl/sharedStrings.xml><?xml version="1.0" encoding="utf-8"?>
<sst xmlns="http://schemas.openxmlformats.org/spreadsheetml/2006/main" count="90" uniqueCount="62">
  <si>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</si>
  <si>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</si>
  <si>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</si>
  <si>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</si>
  <si>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</si>
  <si>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</si>
  <si>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</si>
  <si>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</si>
  <si>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</si>
  <si>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Albert Soret Miravet</t>
  </si>
  <si>
    <t>R4 (leading Researcher)</t>
  </si>
  <si>
    <t>Jan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</si>
  <si>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</si>
  <si>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</si>
  <si>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</si>
  <si>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</si>
  <si>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</si>
  <si>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</si>
  <si>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</si>
  <si>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</si>
  <si>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</si>
  <si>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</si>
  <si>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</si>
  <si>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</si>
  <si>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</si>
  <si>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</si>
  <si>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</si>
  <si>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</si>
  <si>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</si>
  <si>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</si>
  <si>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</si>
  <si>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</si>
  <si>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</si>
  <si>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</si>
  <si>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</si>
  <si>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</si>
  <si>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</si>
  <si>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</si>
  <si>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</si>
  <si>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</si>
  <si>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PE072900 VITIGEOSS - WP6 Communication &amp; Dissemination</t>
  </si>
  <si>
    <t>Dedicacion: 15% Estimated:24.75 h</t>
  </si>
  <si>
    <t>PE099400 GreenSCENT - WP3 Digital Demonstrators (iterative) Development</t>
  </si>
  <si>
    <t>Dedicacion: 10% Estimated:16.5 h</t>
  </si>
  <si>
    <t xml:space="preserve">PE121200 DE_340 - WP10 Co-designing evocative applications / use cases </t>
  </si>
  <si>
    <t>PE113900 ASPECT - WP03 Creation and evaluation of seamless climate information across space and time</t>
  </si>
  <si>
    <t>PE113900 ASPECT - WP07 Scientific co-ordination, project management communication, dissemination, and exploitation of outcomes</t>
  </si>
  <si>
    <t>Dedicacion: 40% Estimated:66 h</t>
  </si>
  <si>
    <t>PE113900 ASPECT - WP04 Co-developing case studies with superusers and exploring the benefits</t>
  </si>
  <si>
    <t>PE128700 MEDEWSA - WP03 Innovative multi-hazard forecasts and impact assessment services</t>
  </si>
  <si>
    <t>Dedicacion: 5% Estimated:8.25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</si>
  <si>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</si>
  <si>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</si>
  <si>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</si>
  <si>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</si>
  <si>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</si>
  <si>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</si>
  <si>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</si>
  <si>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</si>
  <si>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</si>
  <si>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</si>
  <si>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2024-02-05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</si>
</sst>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4"/>
  <sheetViews>
    <sheetView tabSelected="1" zoomScale="60" zoomScaleNormal="60" workbookViewId="0">
      <selection activeCell="B44" sqref="B44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AH38</f>
        <v>165</v>
      </c>
      <c r="I16" s="25"/>
      <c r="K16" s="24" t="s">
        <v>18</v>
      </c>
      <c r="L16" s="16"/>
      <c r="M16" s="16"/>
      <c r="N16" s="16"/>
      <c r="O16" s="16"/>
      <c r="P16" s="26">
        <f>AH30</f>
        <v>165</v>
      </c>
      <c r="Q16" s="26"/>
      <c r="S16" s="24" t="s">
        <v>19</v>
      </c>
      <c r="T16" s="16"/>
      <c r="U16" s="16"/>
      <c r="V16" s="16"/>
      <c r="W16" s="16"/>
      <c r="X16" s="25">
        <f>(P16/7.5) *1</f>
        <v>22</v>
      </c>
      <c r="Y16" s="25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5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2" t="s">
        <v>24</v>
      </c>
      <c r="AH19" s="30" t="s">
        <v>36</v>
      </c>
      <c r="AI19" s="31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5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2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8"/>
      <c r="E21" s="28"/>
      <c r="F21" s="28"/>
      <c r="G21" s="28"/>
      <c r="H21" s="27"/>
      <c r="I21" s="29"/>
      <c r="J21" s="28"/>
      <c r="K21" s="28"/>
      <c r="L21" s="28"/>
      <c r="M21" s="28"/>
      <c r="N21" s="28"/>
      <c r="O21" s="29"/>
      <c r="P21" s="29"/>
      <c r="Q21" s="28"/>
      <c r="R21" s="28"/>
      <c r="S21" s="28"/>
      <c r="T21" s="28"/>
      <c r="U21" s="28"/>
      <c r="V21" s="29"/>
      <c r="W21" s="29"/>
      <c r="X21" s="28"/>
      <c r="Y21" s="28"/>
      <c r="Z21" s="28"/>
      <c r="AA21" s="28"/>
      <c r="AB21" s="28"/>
      <c r="AC21" s="29"/>
      <c r="AD21" s="29"/>
      <c r="AE21" s="28"/>
      <c r="AF21" s="28"/>
      <c r="AG21" s="28"/>
      <c r="AH21" s="28"/>
      <c r="AI21" s="33"/>
    </row>
    <row r="22" spans="1:35" ht="19.5" x14ac:dyDescent="0.3">
      <c r="A22" s="34" t="s">
        <v>39</v>
      </c>
      <c r="B22" s="34"/>
      <c r="C22" s="27"/>
      <c r="D22" s="28"/>
      <c r="E22" s="28"/>
      <c r="F22" s="28"/>
      <c r="G22" s="28"/>
      <c r="H22" s="27"/>
      <c r="I22" s="29"/>
      <c r="J22" s="28"/>
      <c r="K22" s="28"/>
      <c r="L22" s="28"/>
      <c r="M22" s="28"/>
      <c r="N22" s="28"/>
      <c r="O22" s="29"/>
      <c r="P22" s="29"/>
      <c r="Q22" s="28"/>
      <c r="R22" s="28"/>
      <c r="S22" s="28"/>
      <c r="T22" s="28"/>
      <c r="U22" s="28"/>
      <c r="V22" s="29"/>
      <c r="W22" s="29"/>
      <c r="X22" s="28"/>
      <c r="Y22" s="28"/>
      <c r="Z22" s="28"/>
      <c r="AA22" s="28"/>
      <c r="AB22" s="28"/>
      <c r="AC22" s="29"/>
      <c r="AD22" s="29"/>
      <c r="AE22" s="28"/>
      <c r="AF22" s="28"/>
      <c r="AG22" s="28"/>
      <c r="AH22" s="28"/>
      <c r="AI22" s="33"/>
    </row>
    <row r="23" spans="1:35" ht="19.5" x14ac:dyDescent="0.3">
      <c r="A23" s="12" t="s">
        <v>40</v>
      </c>
      <c r="B23" s="12" t="s">
        <v>41</v>
      </c>
      <c r="C23" s="6"/>
      <c r="D23" s="3"/>
      <c r="E23" s="3"/>
      <c r="F23" s="3">
        <v>2.5</v>
      </c>
      <c r="G23" s="3"/>
      <c r="H23" s="6"/>
      <c r="I23" s="9"/>
      <c r="J23" s="3"/>
      <c r="K23" s="3"/>
      <c r="L23" s="3"/>
      <c r="M23" s="3">
        <v>2.5</v>
      </c>
      <c r="N23" s="3">
        <v>2.5</v>
      </c>
      <c r="O23" s="9"/>
      <c r="P23" s="9"/>
      <c r="Q23" s="3">
        <v>2.5</v>
      </c>
      <c r="R23" s="3"/>
      <c r="S23" s="3"/>
      <c r="T23" s="3">
        <v>2.5</v>
      </c>
      <c r="U23" s="3">
        <v>2.5</v>
      </c>
      <c r="V23" s="9"/>
      <c r="W23" s="9"/>
      <c r="X23" s="3">
        <v>2.5</v>
      </c>
      <c r="Y23" s="3"/>
      <c r="Z23" s="3"/>
      <c r="AA23" s="3">
        <v>2.5</v>
      </c>
      <c r="AB23" s="3">
        <v>2.5</v>
      </c>
      <c r="AC23" s="9"/>
      <c r="AD23" s="9"/>
      <c r="AE23" s="3">
        <v>2.5</v>
      </c>
      <c r="AF23" s="3"/>
      <c r="AG23" s="3"/>
      <c r="AH23" s="3">
        <f t="shared" ref="AH23:AH29" si="0">SUM(C23:AG23)</f>
        <v>25</v>
      </c>
      <c r="AI23" s="13">
        <f t="shared" ref="AI23:AI30" si="1">AH23/$AH$39</f>
        <v>0.15151515151515152</v>
      </c>
    </row>
    <row r="24" spans="1:35" ht="19.5" x14ac:dyDescent="0.3">
      <c r="A24" s="12" t="s">
        <v>42</v>
      </c>
      <c r="B24" s="12" t="s">
        <v>43</v>
      </c>
      <c r="C24" s="6"/>
      <c r="D24" s="3">
        <v>2</v>
      </c>
      <c r="E24" s="3">
        <v>1</v>
      </c>
      <c r="F24" s="3"/>
      <c r="G24" s="3">
        <v>1.5</v>
      </c>
      <c r="H24" s="6"/>
      <c r="I24" s="9"/>
      <c r="J24" s="3"/>
      <c r="K24" s="3">
        <v>1</v>
      </c>
      <c r="L24" s="3">
        <v>2</v>
      </c>
      <c r="M24" s="3"/>
      <c r="N24" s="3"/>
      <c r="O24" s="9"/>
      <c r="P24" s="9"/>
      <c r="Q24" s="3"/>
      <c r="R24" s="3"/>
      <c r="S24" s="3"/>
      <c r="T24" s="3">
        <v>0.5</v>
      </c>
      <c r="U24" s="3">
        <v>0.5</v>
      </c>
      <c r="V24" s="9"/>
      <c r="W24" s="9"/>
      <c r="X24" s="3"/>
      <c r="Y24" s="3">
        <v>2</v>
      </c>
      <c r="Z24" s="3"/>
      <c r="AA24" s="3"/>
      <c r="AB24" s="3"/>
      <c r="AC24" s="9"/>
      <c r="AD24" s="9"/>
      <c r="AE24" s="3"/>
      <c r="AF24" s="3">
        <v>2</v>
      </c>
      <c r="AG24" s="3">
        <v>4</v>
      </c>
      <c r="AH24" s="3">
        <f t="shared" si="0"/>
        <v>16.5</v>
      </c>
      <c r="AI24" s="13">
        <f t="shared" si="1"/>
        <v>0.1</v>
      </c>
    </row>
    <row r="25" spans="1:35" ht="19.5" x14ac:dyDescent="0.3">
      <c r="A25" s="12" t="s">
        <v>44</v>
      </c>
      <c r="B25" s="12" t="s">
        <v>43</v>
      </c>
      <c r="C25" s="6"/>
      <c r="D25" s="3">
        <v>0</v>
      </c>
      <c r="E25" s="3">
        <v>2</v>
      </c>
      <c r="F25" s="3">
        <v>0</v>
      </c>
      <c r="G25" s="3">
        <v>0</v>
      </c>
      <c r="H25" s="6"/>
      <c r="I25" s="9"/>
      <c r="J25" s="3">
        <v>0</v>
      </c>
      <c r="K25" s="3">
        <v>1.5</v>
      </c>
      <c r="L25" s="3">
        <v>0</v>
      </c>
      <c r="M25" s="3">
        <v>0</v>
      </c>
      <c r="N25" s="3">
        <v>0</v>
      </c>
      <c r="O25" s="9"/>
      <c r="P25" s="9"/>
      <c r="Q25" s="3">
        <v>0</v>
      </c>
      <c r="R25" s="3">
        <v>2.5</v>
      </c>
      <c r="S25" s="3">
        <v>1.5</v>
      </c>
      <c r="T25" s="3">
        <v>0</v>
      </c>
      <c r="U25" s="3">
        <v>0</v>
      </c>
      <c r="V25" s="9"/>
      <c r="W25" s="9"/>
      <c r="X25" s="3">
        <v>1</v>
      </c>
      <c r="Y25" s="3">
        <v>0</v>
      </c>
      <c r="Z25" s="3">
        <v>0</v>
      </c>
      <c r="AA25" s="3">
        <v>2.5</v>
      </c>
      <c r="AB25" s="3">
        <v>2</v>
      </c>
      <c r="AC25" s="9"/>
      <c r="AD25" s="9"/>
      <c r="AE25" s="3">
        <v>2</v>
      </c>
      <c r="AF25" s="3">
        <v>0.5</v>
      </c>
      <c r="AG25" s="3">
        <v>0.5</v>
      </c>
      <c r="AH25" s="3">
        <f t="shared" si="0"/>
        <v>16</v>
      </c>
      <c r="AI25" s="13">
        <f t="shared" si="1"/>
        <v>9.696969696969697E-2</v>
      </c>
    </row>
    <row r="26" spans="1:35" ht="19.5" x14ac:dyDescent="0.3">
      <c r="A26" s="12" t="s">
        <v>45</v>
      </c>
      <c r="B26" s="12" t="s">
        <v>43</v>
      </c>
      <c r="C26" s="6"/>
      <c r="D26" s="3">
        <v>2</v>
      </c>
      <c r="E26" s="3">
        <v>2</v>
      </c>
      <c r="F26" s="3"/>
      <c r="G26" s="3"/>
      <c r="H26" s="6"/>
      <c r="I26" s="9"/>
      <c r="J26" s="3">
        <v>2.5</v>
      </c>
      <c r="K26" s="3">
        <v>1</v>
      </c>
      <c r="L26" s="3"/>
      <c r="M26" s="3"/>
      <c r="N26" s="3"/>
      <c r="O26" s="9"/>
      <c r="P26" s="9"/>
      <c r="Q26" s="3">
        <v>1</v>
      </c>
      <c r="R26" s="3">
        <v>2</v>
      </c>
      <c r="S26" s="3">
        <v>2</v>
      </c>
      <c r="T26" s="3"/>
      <c r="U26" s="3"/>
      <c r="V26" s="9"/>
      <c r="W26" s="9"/>
      <c r="X26" s="3"/>
      <c r="Y26" s="3">
        <v>2</v>
      </c>
      <c r="Z26" s="3">
        <v>2</v>
      </c>
      <c r="AA26" s="3"/>
      <c r="AB26" s="3"/>
      <c r="AC26" s="9"/>
      <c r="AD26" s="9"/>
      <c r="AE26" s="3"/>
      <c r="AF26" s="3"/>
      <c r="AG26" s="3"/>
      <c r="AH26" s="3">
        <f t="shared" si="0"/>
        <v>16.5</v>
      </c>
      <c r="AI26" s="13">
        <f t="shared" si="1"/>
        <v>0.1</v>
      </c>
    </row>
    <row r="27" spans="1:35" ht="19.5" x14ac:dyDescent="0.3">
      <c r="A27" s="12" t="s">
        <v>46</v>
      </c>
      <c r="B27" s="12" t="s">
        <v>47</v>
      </c>
      <c r="C27" s="6"/>
      <c r="D27" s="3">
        <v>3.5</v>
      </c>
      <c r="E27" s="3">
        <v>1.5</v>
      </c>
      <c r="F27" s="3">
        <v>4</v>
      </c>
      <c r="G27" s="3">
        <v>4</v>
      </c>
      <c r="H27" s="6"/>
      <c r="I27" s="9"/>
      <c r="J27" s="3">
        <v>3.5</v>
      </c>
      <c r="K27" s="3">
        <v>2</v>
      </c>
      <c r="L27" s="3">
        <v>3.5</v>
      </c>
      <c r="M27" s="3">
        <v>4</v>
      </c>
      <c r="N27" s="3">
        <v>4</v>
      </c>
      <c r="O27" s="9"/>
      <c r="P27" s="9"/>
      <c r="Q27" s="3">
        <v>4</v>
      </c>
      <c r="R27" s="3">
        <v>1</v>
      </c>
      <c r="S27" s="3">
        <v>2</v>
      </c>
      <c r="T27" s="3">
        <v>4</v>
      </c>
      <c r="U27" s="3">
        <v>4</v>
      </c>
      <c r="V27" s="9"/>
      <c r="W27" s="9"/>
      <c r="X27" s="3">
        <v>3</v>
      </c>
      <c r="Y27" s="3">
        <v>3.5</v>
      </c>
      <c r="Z27" s="3">
        <v>3.5</v>
      </c>
      <c r="AA27" s="3">
        <v>1.5</v>
      </c>
      <c r="AB27" s="3">
        <v>2</v>
      </c>
      <c r="AC27" s="9"/>
      <c r="AD27" s="9"/>
      <c r="AE27" s="3">
        <v>2</v>
      </c>
      <c r="AF27" s="3">
        <v>3</v>
      </c>
      <c r="AG27" s="3">
        <v>3</v>
      </c>
      <c r="AH27" s="3">
        <f t="shared" si="0"/>
        <v>66.5</v>
      </c>
      <c r="AI27" s="13">
        <f t="shared" si="1"/>
        <v>0.40303030303030302</v>
      </c>
    </row>
    <row r="28" spans="1:35" ht="19.5" x14ac:dyDescent="0.3">
      <c r="A28" s="12" t="s">
        <v>48</v>
      </c>
      <c r="B28" s="12" t="s">
        <v>43</v>
      </c>
      <c r="C28" s="6"/>
      <c r="D28" s="3"/>
      <c r="E28" s="3">
        <v>1</v>
      </c>
      <c r="F28" s="3"/>
      <c r="G28" s="3">
        <v>2</v>
      </c>
      <c r="H28" s="6"/>
      <c r="I28" s="9"/>
      <c r="J28" s="3">
        <v>1.5</v>
      </c>
      <c r="K28" s="3">
        <v>2</v>
      </c>
      <c r="L28" s="3">
        <v>2</v>
      </c>
      <c r="M28" s="3"/>
      <c r="N28" s="3"/>
      <c r="O28" s="9"/>
      <c r="P28" s="9"/>
      <c r="Q28" s="3"/>
      <c r="R28" s="3">
        <v>2</v>
      </c>
      <c r="S28" s="3">
        <v>2</v>
      </c>
      <c r="T28" s="3"/>
      <c r="U28" s="3"/>
      <c r="V28" s="9"/>
      <c r="W28" s="9"/>
      <c r="X28" s="3"/>
      <c r="Y28" s="3"/>
      <c r="Z28" s="3">
        <v>2</v>
      </c>
      <c r="AA28" s="3"/>
      <c r="AB28" s="3"/>
      <c r="AC28" s="9"/>
      <c r="AD28" s="9"/>
      <c r="AE28" s="3"/>
      <c r="AF28" s="3">
        <v>2</v>
      </c>
      <c r="AG28" s="3"/>
      <c r="AH28" s="3">
        <f t="shared" si="0"/>
        <v>16.5</v>
      </c>
      <c r="AI28" s="13">
        <f t="shared" si="1"/>
        <v>0.1</v>
      </c>
    </row>
    <row r="29" spans="1:35" ht="19.5" x14ac:dyDescent="0.3">
      <c r="A29" s="12" t="s">
        <v>49</v>
      </c>
      <c r="B29" s="12" t="s">
        <v>50</v>
      </c>
      <c r="C29" s="6"/>
      <c r="D29" s="3"/>
      <c r="E29" s="3"/>
      <c r="F29" s="3">
        <v>1</v>
      </c>
      <c r="G29" s="3"/>
      <c r="H29" s="6"/>
      <c r="I29" s="9"/>
      <c r="J29" s="3"/>
      <c r="K29" s="3"/>
      <c r="L29" s="3"/>
      <c r="M29" s="3">
        <v>1</v>
      </c>
      <c r="N29" s="3">
        <v>1</v>
      </c>
      <c r="O29" s="9"/>
      <c r="P29" s="9"/>
      <c r="Q29" s="3"/>
      <c r="R29" s="3"/>
      <c r="S29" s="3"/>
      <c r="T29" s="3">
        <v>0.5</v>
      </c>
      <c r="U29" s="3">
        <v>0.5</v>
      </c>
      <c r="V29" s="9"/>
      <c r="W29" s="9"/>
      <c r="X29" s="3">
        <v>1</v>
      </c>
      <c r="Y29" s="3"/>
      <c r="Z29" s="3"/>
      <c r="AA29" s="3">
        <v>1</v>
      </c>
      <c r="AB29" s="3">
        <v>1</v>
      </c>
      <c r="AC29" s="9"/>
      <c r="AD29" s="9"/>
      <c r="AE29" s="3">
        <v>1</v>
      </c>
      <c r="AF29" s="3"/>
      <c r="AG29" s="3"/>
      <c r="AH29" s="3">
        <f t="shared" si="0"/>
        <v>8</v>
      </c>
      <c r="AI29" s="13">
        <f t="shared" si="1"/>
        <v>4.8484848484848485E-2</v>
      </c>
    </row>
    <row r="30" spans="1:35" ht="19.5" x14ac:dyDescent="0.3">
      <c r="A30" s="35" t="s">
        <v>51</v>
      </c>
      <c r="B30" s="36"/>
      <c r="C30" s="7"/>
      <c r="D30" s="4">
        <f>SUM(D23:D29)</f>
        <v>7.5</v>
      </c>
      <c r="E30" s="4">
        <f>SUM(E23:E29)</f>
        <v>7.5</v>
      </c>
      <c r="F30" s="4">
        <f>SUM(F23:F29)</f>
        <v>7.5</v>
      </c>
      <c r="G30" s="4">
        <f>SUM(G23:G29)</f>
        <v>7.5</v>
      </c>
      <c r="H30" s="7"/>
      <c r="I30" s="10"/>
      <c r="J30" s="4">
        <f>SUM(J23:J29)</f>
        <v>7.5</v>
      </c>
      <c r="K30" s="4">
        <f>SUM(K23:K29)</f>
        <v>7.5</v>
      </c>
      <c r="L30" s="4">
        <f>SUM(L23:L29)</f>
        <v>7.5</v>
      </c>
      <c r="M30" s="4">
        <f>SUM(M23:M29)</f>
        <v>7.5</v>
      </c>
      <c r="N30" s="4">
        <f>SUM(N23:N29)</f>
        <v>7.5</v>
      </c>
      <c r="O30" s="10"/>
      <c r="P30" s="10"/>
      <c r="Q30" s="4">
        <f>SUM(Q23:Q29)</f>
        <v>7.5</v>
      </c>
      <c r="R30" s="4">
        <f>SUM(R23:R29)</f>
        <v>7.5</v>
      </c>
      <c r="S30" s="4">
        <f>SUM(S23:S29)</f>
        <v>7.5</v>
      </c>
      <c r="T30" s="4">
        <f>SUM(T23:T29)</f>
        <v>7.5</v>
      </c>
      <c r="U30" s="4">
        <f>SUM(U23:U29)</f>
        <v>7.5</v>
      </c>
      <c r="V30" s="10"/>
      <c r="W30" s="10"/>
      <c r="X30" s="4">
        <f>SUM(X23:X29)</f>
        <v>7.5</v>
      </c>
      <c r="Y30" s="4">
        <f>SUM(Y23:Y29)</f>
        <v>7.5</v>
      </c>
      <c r="Z30" s="4">
        <f>SUM(Z23:Z29)</f>
        <v>7.5</v>
      </c>
      <c r="AA30" s="4">
        <f>SUM(AA23:AA29)</f>
        <v>7.5</v>
      </c>
      <c r="AB30" s="4">
        <f>SUM(AB23:AB29)</f>
        <v>7.5</v>
      </c>
      <c r="AC30" s="10"/>
      <c r="AD30" s="10"/>
      <c r="AE30" s="4">
        <f>SUM(AE23:AE29)</f>
        <v>7.5</v>
      </c>
      <c r="AF30" s="4">
        <f>SUM(AF23:AF29)</f>
        <v>7.5</v>
      </c>
      <c r="AG30" s="4">
        <f>SUM(AG23:AG29)</f>
        <v>7.5</v>
      </c>
      <c r="AH30" s="4">
        <f>SUM(AH23:AH29)</f>
        <v>165</v>
      </c>
      <c r="AI30" s="11">
        <f t="shared" si="1"/>
        <v>1</v>
      </c>
    </row>
    <row r="31" spans="1:35" ht="19.5" x14ac:dyDescent="0.3">
      <c r="A31" s="37" t="s">
        <v>52</v>
      </c>
      <c r="B31" s="37"/>
      <c r="C31" s="6"/>
      <c r="D31" s="3">
        <f>7.5-D30</f>
        <v>0</v>
      </c>
      <c r="E31" s="3">
        <f>7.5-E30</f>
        <v>0</v>
      </c>
      <c r="F31" s="3">
        <f>7.5-F30</f>
        <v>0</v>
      </c>
      <c r="G31" s="3">
        <f>7.5-G30</f>
        <v>0</v>
      </c>
      <c r="H31" s="6"/>
      <c r="I31" s="9"/>
      <c r="J31" s="3">
        <f>7.5-J30</f>
        <v>0</v>
      </c>
      <c r="K31" s="3">
        <f>7.5-K30</f>
        <v>0</v>
      </c>
      <c r="L31" s="3">
        <f>7.5-L30</f>
        <v>0</v>
      </c>
      <c r="M31" s="3">
        <f>7.5-M30</f>
        <v>0</v>
      </c>
      <c r="N31" s="3">
        <f>7.5-N30</f>
        <v>0</v>
      </c>
      <c r="O31" s="9"/>
      <c r="P31" s="9"/>
      <c r="Q31" s="3">
        <f>7.5-Q30</f>
        <v>0</v>
      </c>
      <c r="R31" s="3">
        <f>7.5-R30</f>
        <v>0</v>
      </c>
      <c r="S31" s="3">
        <f>7.5-S30</f>
        <v>0</v>
      </c>
      <c r="T31" s="3">
        <f>7.5-T30</f>
        <v>0</v>
      </c>
      <c r="U31" s="3">
        <f>7.5-U30</f>
        <v>0</v>
      </c>
      <c r="V31" s="9"/>
      <c r="W31" s="9"/>
      <c r="X31" s="3">
        <f>7.5-X30</f>
        <v>0</v>
      </c>
      <c r="Y31" s="3">
        <f>7.5-Y30</f>
        <v>0</v>
      </c>
      <c r="Z31" s="3">
        <f>7.5-Z30</f>
        <v>0</v>
      </c>
      <c r="AA31" s="3">
        <f>7.5-AA30</f>
        <v>0</v>
      </c>
      <c r="AB31" s="3">
        <f>7.5-AB30</f>
        <v>0</v>
      </c>
      <c r="AC31" s="9"/>
      <c r="AD31" s="9"/>
      <c r="AE31" s="3">
        <f>7.5-AE30</f>
        <v>0</v>
      </c>
      <c r="AF31" s="3">
        <f>7.5-AF30</f>
        <v>0</v>
      </c>
      <c r="AG31" s="3">
        <f>7.5-AG30</f>
        <v>0</v>
      </c>
      <c r="AH31" s="3">
        <f t="shared" ref="AH31:AH37" si="2">SUM(C31:AG31)</f>
        <v>0</v>
      </c>
    </row>
    <row r="32" spans="1:35" ht="19.5" x14ac:dyDescent="0.3">
      <c r="A32" s="37"/>
      <c r="B32" s="37"/>
      <c r="C32" s="6"/>
      <c r="D32" s="3"/>
      <c r="E32" s="3"/>
      <c r="F32" s="3"/>
      <c r="G32" s="3"/>
      <c r="H32" s="6"/>
      <c r="I32" s="9"/>
      <c r="J32" s="3"/>
      <c r="K32" s="3"/>
      <c r="L32" s="3"/>
      <c r="M32" s="3"/>
      <c r="N32" s="3"/>
      <c r="O32" s="9"/>
      <c r="P32" s="9"/>
      <c r="Q32" s="3"/>
      <c r="R32" s="3"/>
      <c r="S32" s="3"/>
      <c r="T32" s="3"/>
      <c r="U32" s="3"/>
      <c r="V32" s="9"/>
      <c r="W32" s="9"/>
      <c r="X32" s="3"/>
      <c r="Y32" s="3"/>
      <c r="Z32" s="3"/>
      <c r="AA32" s="3"/>
      <c r="AB32" s="3"/>
      <c r="AC32" s="9"/>
      <c r="AD32" s="9"/>
      <c r="AE32" s="3"/>
      <c r="AF32" s="3"/>
      <c r="AG32" s="3"/>
      <c r="AH32" s="3">
        <f t="shared" si="2"/>
        <v>0</v>
      </c>
    </row>
    <row r="33" spans="1:34" ht="19.5" x14ac:dyDescent="0.3">
      <c r="A33" s="37"/>
      <c r="B33" s="37"/>
      <c r="C33" s="6"/>
      <c r="D33" s="3"/>
      <c r="E33" s="3"/>
      <c r="F33" s="3"/>
      <c r="G33" s="3"/>
      <c r="H33" s="6"/>
      <c r="I33" s="9"/>
      <c r="J33" s="3"/>
      <c r="K33" s="3"/>
      <c r="L33" s="3"/>
      <c r="M33" s="3"/>
      <c r="N33" s="3"/>
      <c r="O33" s="9"/>
      <c r="P33" s="9"/>
      <c r="Q33" s="3"/>
      <c r="R33" s="3"/>
      <c r="S33" s="3"/>
      <c r="T33" s="3"/>
      <c r="U33" s="3"/>
      <c r="V33" s="9"/>
      <c r="W33" s="9"/>
      <c r="X33" s="3"/>
      <c r="Y33" s="3"/>
      <c r="Z33" s="3"/>
      <c r="AA33" s="3"/>
      <c r="AB33" s="3"/>
      <c r="AC33" s="9"/>
      <c r="AD33" s="9"/>
      <c r="AE33" s="3"/>
      <c r="AF33" s="3"/>
      <c r="AG33" s="3"/>
      <c r="AH33" s="3">
        <f t="shared" si="2"/>
        <v>0</v>
      </c>
    </row>
    <row r="34" spans="1:34" ht="19.5" x14ac:dyDescent="0.3">
      <c r="A34" s="37"/>
      <c r="B34" s="37"/>
      <c r="C34" s="6"/>
      <c r="D34" s="3"/>
      <c r="E34" s="3"/>
      <c r="F34" s="3"/>
      <c r="G34" s="3"/>
      <c r="H34" s="6"/>
      <c r="I34" s="9"/>
      <c r="J34" s="3"/>
      <c r="K34" s="3"/>
      <c r="L34" s="3"/>
      <c r="M34" s="3"/>
      <c r="N34" s="3"/>
      <c r="O34" s="9"/>
      <c r="P34" s="9"/>
      <c r="Q34" s="3"/>
      <c r="R34" s="3"/>
      <c r="S34" s="3"/>
      <c r="T34" s="3"/>
      <c r="U34" s="3"/>
      <c r="V34" s="9"/>
      <c r="W34" s="9"/>
      <c r="X34" s="3"/>
      <c r="Y34" s="3"/>
      <c r="Z34" s="3"/>
      <c r="AA34" s="3"/>
      <c r="AB34" s="3"/>
      <c r="AC34" s="9"/>
      <c r="AD34" s="9"/>
      <c r="AE34" s="3"/>
      <c r="AF34" s="3"/>
      <c r="AG34" s="3"/>
      <c r="AH34" s="3">
        <f t="shared" si="2"/>
        <v>0</v>
      </c>
    </row>
    <row r="35" spans="1:34" ht="19.5" x14ac:dyDescent="0.3">
      <c r="A35" s="37" t="s">
        <v>53</v>
      </c>
      <c r="B35" s="37"/>
      <c r="C35" s="6"/>
      <c r="D35" s="3"/>
      <c r="E35" s="3"/>
      <c r="F35" s="3"/>
      <c r="G35" s="3"/>
      <c r="H35" s="6"/>
      <c r="I35" s="9"/>
      <c r="J35" s="3"/>
      <c r="K35" s="3"/>
      <c r="L35" s="3"/>
      <c r="M35" s="3"/>
      <c r="N35" s="3"/>
      <c r="O35" s="9"/>
      <c r="P35" s="9"/>
      <c r="Q35" s="3"/>
      <c r="R35" s="3"/>
      <c r="S35" s="3"/>
      <c r="T35" s="3"/>
      <c r="U35" s="3"/>
      <c r="V35" s="9"/>
      <c r="W35" s="9"/>
      <c r="X35" s="3"/>
      <c r="Y35" s="3"/>
      <c r="Z35" s="3"/>
      <c r="AA35" s="3"/>
      <c r="AB35" s="3"/>
      <c r="AC35" s="9"/>
      <c r="AD35" s="9"/>
      <c r="AE35" s="3"/>
      <c r="AF35" s="3"/>
      <c r="AG35" s="3"/>
      <c r="AH35" s="3">
        <f t="shared" si="2"/>
        <v>0</v>
      </c>
    </row>
    <row r="36" spans="1:34" ht="19.5" x14ac:dyDescent="0.3">
      <c r="A36" s="37" t="s">
        <v>54</v>
      </c>
      <c r="B36" s="37"/>
      <c r="C36" s="6"/>
      <c r="D36" s="3"/>
      <c r="E36" s="3"/>
      <c r="F36" s="3"/>
      <c r="G36" s="3"/>
      <c r="H36" s="6"/>
      <c r="I36" s="9"/>
      <c r="J36" s="3"/>
      <c r="K36" s="3"/>
      <c r="L36" s="3"/>
      <c r="M36" s="3"/>
      <c r="N36" s="3"/>
      <c r="O36" s="9"/>
      <c r="P36" s="9"/>
      <c r="Q36" s="3"/>
      <c r="R36" s="3"/>
      <c r="S36" s="3"/>
      <c r="T36" s="3"/>
      <c r="U36" s="3"/>
      <c r="V36" s="9"/>
      <c r="W36" s="9"/>
      <c r="X36" s="3"/>
      <c r="Y36" s="3"/>
      <c r="Z36" s="3"/>
      <c r="AA36" s="3"/>
      <c r="AB36" s="3"/>
      <c r="AC36" s="9"/>
      <c r="AD36" s="9"/>
      <c r="AE36" s="3"/>
      <c r="AF36" s="3"/>
      <c r="AG36" s="3"/>
      <c r="AH36" s="3">
        <f t="shared" si="2"/>
        <v>0</v>
      </c>
    </row>
    <row r="37" spans="1:34" ht="19.5" x14ac:dyDescent="0.3">
      <c r="A37" s="37" t="s">
        <v>55</v>
      </c>
      <c r="B37" s="37"/>
      <c r="C37" s="6"/>
      <c r="D37" s="3"/>
      <c r="E37" s="3"/>
      <c r="F37" s="3"/>
      <c r="G37" s="3"/>
      <c r="H37" s="6"/>
      <c r="I37" s="9"/>
      <c r="J37" s="3"/>
      <c r="K37" s="3"/>
      <c r="L37" s="3"/>
      <c r="M37" s="3"/>
      <c r="N37" s="3"/>
      <c r="O37" s="9"/>
      <c r="P37" s="9"/>
      <c r="Q37" s="3"/>
      <c r="R37" s="3"/>
      <c r="S37" s="3"/>
      <c r="T37" s="3"/>
      <c r="U37" s="3"/>
      <c r="V37" s="9"/>
      <c r="W37" s="9"/>
      <c r="X37" s="3"/>
      <c r="Y37" s="3"/>
      <c r="Z37" s="3"/>
      <c r="AA37" s="3"/>
      <c r="AB37" s="3"/>
      <c r="AC37" s="9"/>
      <c r="AD37" s="9"/>
      <c r="AE37" s="3"/>
      <c r="AF37" s="3"/>
      <c r="AG37" s="3"/>
      <c r="AH37" s="3">
        <f t="shared" si="2"/>
        <v>0</v>
      </c>
    </row>
    <row r="38" spans="1:34" ht="19.5" x14ac:dyDescent="0.3">
      <c r="A38" s="12" t="s">
        <v>56</v>
      </c>
      <c r="B38" s="12"/>
      <c r="C38" s="7"/>
      <c r="D38" s="4">
        <f>SUM(D30:D34)</f>
        <v>7.5</v>
      </c>
      <c r="E38" s="4">
        <f>SUM(E30:E34)</f>
        <v>7.5</v>
      </c>
      <c r="F38" s="4">
        <f>SUM(F30:F34)</f>
        <v>7.5</v>
      </c>
      <c r="G38" s="4">
        <f>SUM(G30:G34)</f>
        <v>7.5</v>
      </c>
      <c r="H38" s="7"/>
      <c r="I38" s="10"/>
      <c r="J38" s="4">
        <f>SUM(J30:J34)</f>
        <v>7.5</v>
      </c>
      <c r="K38" s="4">
        <f>SUM(K30:K34)</f>
        <v>7.5</v>
      </c>
      <c r="L38" s="4">
        <f>SUM(L30:L34)</f>
        <v>7.5</v>
      </c>
      <c r="M38" s="4">
        <f>SUM(M30:M34)</f>
        <v>7.5</v>
      </c>
      <c r="N38" s="4">
        <f>SUM(N30:N34)</f>
        <v>7.5</v>
      </c>
      <c r="O38" s="10"/>
      <c r="P38" s="10"/>
      <c r="Q38" s="4">
        <f>SUM(Q30:Q34)</f>
        <v>7.5</v>
      </c>
      <c r="R38" s="4">
        <f>SUM(R30:R34)</f>
        <v>7.5</v>
      </c>
      <c r="S38" s="4">
        <f>SUM(S30:S34)</f>
        <v>7.5</v>
      </c>
      <c r="T38" s="4">
        <f>SUM(T30:T34)</f>
        <v>7.5</v>
      </c>
      <c r="U38" s="4">
        <f>SUM(U30:U34)</f>
        <v>7.5</v>
      </c>
      <c r="V38" s="10"/>
      <c r="W38" s="10"/>
      <c r="X38" s="4">
        <f>SUM(X30:X34)</f>
        <v>7.5</v>
      </c>
      <c r="Y38" s="4">
        <f>SUM(Y30:Y34)</f>
        <v>7.5</v>
      </c>
      <c r="Z38" s="4">
        <f>SUM(Z30:Z34)</f>
        <v>7.5</v>
      </c>
      <c r="AA38" s="4">
        <f>SUM(AA30:AA34)</f>
        <v>7.5</v>
      </c>
      <c r="AB38" s="4">
        <f>SUM(AB30:AB34)</f>
        <v>7.5</v>
      </c>
      <c r="AC38" s="10"/>
      <c r="AD38" s="10"/>
      <c r="AE38" s="4">
        <f>SUM(AE30:AE34)</f>
        <v>7.5</v>
      </c>
      <c r="AF38" s="4">
        <f>SUM(AF30:AF34)</f>
        <v>7.5</v>
      </c>
      <c r="AG38" s="4">
        <f>SUM(AG30:AG34)</f>
        <v>7.5</v>
      </c>
      <c r="AH38" s="4">
        <f>SUM(AH30:AH34)</f>
        <v>165</v>
      </c>
    </row>
    <row r="39" spans="1:34" ht="19.5" x14ac:dyDescent="0.3">
      <c r="A39" s="12" t="s">
        <v>57</v>
      </c>
      <c r="B39" s="12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2">
        <f>SUM(AH35:AH38)</f>
        <v>165</v>
      </c>
    </row>
    <row r="42" spans="1:34" x14ac:dyDescent="0.25">
      <c r="A42" s="31" t="s">
        <v>58</v>
      </c>
      <c r="B42" s="31" t="s">
        <v>59</v>
      </c>
      <c r="W42" s="39" t="s">
        <v>60</v>
      </c>
      <c r="X42" s="40"/>
      <c r="Y42" s="40"/>
      <c r="Z42" s="40"/>
      <c r="AA42" s="41"/>
      <c r="AB42" s="39" t="s">
        <v>9</v>
      </c>
      <c r="AC42" s="40"/>
      <c r="AD42" s="40"/>
      <c r="AE42" s="41"/>
    </row>
    <row r="43" spans="1:34" x14ac:dyDescent="0.25">
      <c r="A43" s="38"/>
      <c r="B43" s="38"/>
      <c r="W43" s="42"/>
      <c r="X43" s="43"/>
      <c r="Y43" s="43"/>
      <c r="Z43" s="43"/>
      <c r="AA43" s="44"/>
      <c r="AB43" s="42"/>
      <c r="AC43" s="43"/>
      <c r="AD43" s="43"/>
      <c r="AE43" s="44"/>
    </row>
    <row r="44" spans="1:34" ht="19.5" x14ac:dyDescent="0.25">
      <c r="A44" s="32"/>
      <c r="B44" s="14">
        <v>45327</v>
      </c>
      <c r="W44" s="45"/>
      <c r="X44" s="46"/>
      <c r="Y44" s="46"/>
      <c r="Z44" s="46"/>
      <c r="AA44" s="47"/>
      <c r="AB44" s="48" t="s">
        <v>61</v>
      </c>
      <c r="AC44" s="46"/>
      <c r="AD44" s="46"/>
      <c r="AE44" s="47"/>
    </row>
  </sheetData>
  <mergeCells count="70">
    <mergeCell ref="C39:AG39"/>
    <mergeCell ref="A42:A44"/>
    <mergeCell ref="B42:B43"/>
    <mergeCell ref="W42:AA44"/>
    <mergeCell ref="AB42:AE43"/>
    <mergeCell ref="AB44:AE44"/>
    <mergeCell ref="A33:B33"/>
    <mergeCell ref="A34:B34"/>
    <mergeCell ref="A35:B35"/>
    <mergeCell ref="A36:B36"/>
    <mergeCell ref="A37:B37"/>
    <mergeCell ref="A21:B21"/>
    <mergeCell ref="A22:B22"/>
    <mergeCell ref="A30:B30"/>
    <mergeCell ref="A31:B31"/>
    <mergeCell ref="A32:B32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2024-08-05T14:37:08Z</dcterms:created>
  <dcterms:modified xsi:type="dcterms:W3CDTF">2024-08-06T08:22:23Z</dcterms:modified>
  <cp:category/>
</cp:coreProperties>
</file>