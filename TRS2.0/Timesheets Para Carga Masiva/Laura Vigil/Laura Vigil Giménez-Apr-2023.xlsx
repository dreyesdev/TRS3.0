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Laura Vigil\"/>
    </mc:Choice>
  </mc:AlternateContent>
  <xr:revisionPtr revIDLastSave="0" documentId="13_ncr:1_{8C0165AC-9C24-4C10-AD55-691C3D8A4742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3" i="1" l="1"/>
  <c r="AG31" i="1"/>
  <c r="AG30" i="1"/>
  <c r="AG29" i="1"/>
  <c r="AG28" i="1"/>
  <c r="AG27" i="1"/>
  <c r="AG26" i="1"/>
  <c r="AD24" i="1"/>
  <c r="AC24" i="1"/>
  <c r="AB24" i="1"/>
  <c r="AA24" i="1"/>
  <c r="Z24" i="1"/>
  <c r="W24" i="1"/>
  <c r="V24" i="1"/>
  <c r="U24" i="1"/>
  <c r="T24" i="1"/>
  <c r="S24" i="1"/>
  <c r="S25" i="1" s="1"/>
  <c r="AG23" i="1"/>
  <c r="AG24" i="1" s="1"/>
  <c r="P16" i="1" l="1"/>
  <c r="X16" i="1" s="1"/>
  <c r="S32" i="1"/>
  <c r="T25" i="1"/>
  <c r="V25" i="1"/>
  <c r="V32" i="1" s="1"/>
  <c r="AA25" i="1"/>
  <c r="AA32" i="1" s="1"/>
  <c r="U25" i="1"/>
  <c r="U32" i="1" s="1"/>
  <c r="W25" i="1"/>
  <c r="W32" i="1" s="1"/>
  <c r="AB25" i="1"/>
  <c r="AB32" i="1" s="1"/>
  <c r="Z25" i="1"/>
  <c r="Z32" i="1" s="1"/>
  <c r="AC25" i="1"/>
  <c r="AC32" i="1" s="1"/>
  <c r="AD25" i="1"/>
  <c r="AD32" i="1" s="1"/>
  <c r="AG25" i="1" l="1"/>
  <c r="AG32" i="1" s="1"/>
  <c r="H16" i="1" s="1"/>
  <c r="T32" i="1"/>
  <c r="AG33" i="1" l="1"/>
  <c r="AH24" i="1" l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<sst xmlns="http://schemas.openxmlformats.org/spreadsheetml/2006/main" count="77" uniqueCount="53">
  <si>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</si>
  <si>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</si>
  <si>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</si>
  <si>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</si>
  <si>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</si>
  <si>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</si>
  <si>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</si>
  <si>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</si>
  <si>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</si>
  <si>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Laura Vigil Giménez</t>
  </si>
  <si>
    <t>Re2 (research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</si>
  <si>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</si>
  <si>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</si>
  <si>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</si>
  <si>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</si>
  <si>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</si>
  <si>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</si>
  <si>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</si>
  <si>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</si>
  <si>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</si>
  <si>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</si>
  <si>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</si>
  <si>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</si>
  <si>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</si>
  <si>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</si>
  <si>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</si>
  <si>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</si>
  <si>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</si>
  <si>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</si>
  <si>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</si>
  <si>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</si>
  <si>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</si>
  <si>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</si>
  <si>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</si>
  <si>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</si>
  <si>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</si>
  <si>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</si>
  <si>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</si>
  <si>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</si>
  <si>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</si>
  <si>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PE104500 DataTools4Heart - WP3 Multilingual standardization of structured and unstructured health data</t>
  </si>
  <si>
    <t>Dedicacion: 17% Estimated:23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</si>
  <si>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</si>
  <si>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</si>
  <si>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</si>
  <si>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</si>
  <si>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</si>
  <si>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</si>
  <si>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</si>
  <si>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</si>
  <si>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Martin Krallinger</t>
  </si>
  <si>
    <t xml:space="preserve">Date and signature of staff member:	</t>
  </si>
  <si>
    <t>2023-05-04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</si>
</sst>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4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zoomScale="55" zoomScaleNormal="55" workbookViewId="0">
      <selection activeCell="G46" sqref="G46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4" t="s">
        <v>1</v>
      </c>
      <c r="D2" s="34"/>
      <c r="E2" s="34"/>
    </row>
    <row r="4" spans="1:33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3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45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45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45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45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45">
      <c r="A12" s="1" t="s">
        <v>16</v>
      </c>
      <c r="B12" s="34">
        <v>2023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45">
      <c r="F16" s="39" t="s">
        <v>17</v>
      </c>
      <c r="G16" s="40"/>
      <c r="H16" s="37">
        <f>AG32</f>
        <v>23.000000000000004</v>
      </c>
      <c r="I16" s="37"/>
      <c r="K16" s="39" t="s">
        <v>18</v>
      </c>
      <c r="L16" s="40"/>
      <c r="M16" s="40"/>
      <c r="N16" s="40"/>
      <c r="O16" s="40"/>
      <c r="P16" s="37">
        <f>AG24</f>
        <v>23.000000000000004</v>
      </c>
      <c r="Q16" s="37"/>
      <c r="S16" s="39" t="s">
        <v>19</v>
      </c>
      <c r="T16" s="40"/>
      <c r="U16" s="40"/>
      <c r="V16" s="40"/>
      <c r="W16" s="40"/>
      <c r="X16" s="37">
        <f>(P16/2.3) *0.3</f>
        <v>3.0000000000000004</v>
      </c>
      <c r="Y16" s="37"/>
    </row>
    <row r="19" spans="1:34" ht="19.5" x14ac:dyDescent="0.45">
      <c r="C19" s="5" t="s">
        <v>20</v>
      </c>
      <c r="D19" s="5" t="s">
        <v>22</v>
      </c>
      <c r="E19" s="5" t="s">
        <v>24</v>
      </c>
      <c r="F19" s="5" t="s">
        <v>26</v>
      </c>
      <c r="G19" s="5" t="s">
        <v>28</v>
      </c>
      <c r="H19" s="5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5" t="s">
        <v>26</v>
      </c>
      <c r="N19" s="5" t="s">
        <v>28</v>
      </c>
      <c r="O19" s="5" t="s">
        <v>30</v>
      </c>
      <c r="P19" s="5" t="s">
        <v>32</v>
      </c>
      <c r="Q19" s="5" t="s">
        <v>20</v>
      </c>
      <c r="R19" s="8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8" t="s">
        <v>20</v>
      </c>
      <c r="Y19" s="8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8" t="s">
        <v>22</v>
      </c>
      <c r="AG19" s="16" t="s">
        <v>36</v>
      </c>
      <c r="AH19" s="17" t="s">
        <v>37</v>
      </c>
    </row>
    <row r="20" spans="1:34" ht="19.5" x14ac:dyDescent="0.45">
      <c r="C20" s="5" t="s">
        <v>21</v>
      </c>
      <c r="D20" s="5" t="s">
        <v>23</v>
      </c>
      <c r="E20" s="5" t="s">
        <v>25</v>
      </c>
      <c r="F20" s="5" t="s">
        <v>27</v>
      </c>
      <c r="G20" s="5" t="s">
        <v>29</v>
      </c>
      <c r="H20" s="5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5">
        <v>11</v>
      </c>
      <c r="N20" s="5">
        <v>12</v>
      </c>
      <c r="O20" s="5">
        <v>13</v>
      </c>
      <c r="P20" s="5">
        <v>14</v>
      </c>
      <c r="Q20" s="5">
        <v>15</v>
      </c>
      <c r="R20" s="8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8">
        <v>22</v>
      </c>
      <c r="Y20" s="8">
        <v>23</v>
      </c>
      <c r="Z20" s="2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8">
        <v>30</v>
      </c>
      <c r="AG20" s="16"/>
      <c r="AH20" s="19"/>
    </row>
    <row r="21" spans="1:34" ht="19.5" x14ac:dyDescent="0.45">
      <c r="A21" s="34" t="s">
        <v>38</v>
      </c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6"/>
      <c r="S21" s="32"/>
      <c r="T21" s="32"/>
      <c r="U21" s="32"/>
      <c r="V21" s="32"/>
      <c r="W21" s="32"/>
      <c r="X21" s="36"/>
      <c r="Y21" s="36"/>
      <c r="Z21" s="32"/>
      <c r="AA21" s="32"/>
      <c r="AB21" s="32"/>
      <c r="AC21" s="32"/>
      <c r="AD21" s="32"/>
      <c r="AE21" s="36"/>
      <c r="AF21" s="36"/>
      <c r="AG21" s="32"/>
      <c r="AH21" s="33"/>
    </row>
    <row r="22" spans="1:34" ht="19.5" x14ac:dyDescent="0.45">
      <c r="A22" s="35" t="s">
        <v>39</v>
      </c>
      <c r="B22" s="35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6"/>
      <c r="S22" s="32"/>
      <c r="T22" s="32"/>
      <c r="U22" s="32"/>
      <c r="V22" s="32"/>
      <c r="W22" s="32"/>
      <c r="X22" s="36"/>
      <c r="Y22" s="36"/>
      <c r="Z22" s="32"/>
      <c r="AA22" s="32"/>
      <c r="AB22" s="32"/>
      <c r="AC22" s="32"/>
      <c r="AD22" s="32"/>
      <c r="AE22" s="36"/>
      <c r="AF22" s="36"/>
      <c r="AG22" s="32"/>
      <c r="AH22" s="33"/>
    </row>
    <row r="23" spans="1:34" ht="19.5" x14ac:dyDescent="0.45">
      <c r="A23" s="12" t="s">
        <v>40</v>
      </c>
      <c r="B23" s="12" t="s">
        <v>41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9"/>
      <c r="S23" s="3">
        <v>2.2999999999999998</v>
      </c>
      <c r="T23" s="3">
        <v>2.2999999999999998</v>
      </c>
      <c r="U23" s="3">
        <v>2.2999999999999998</v>
      </c>
      <c r="V23" s="3">
        <v>2.2999999999999998</v>
      </c>
      <c r="W23" s="3">
        <v>2.2999999999999998</v>
      </c>
      <c r="X23" s="9"/>
      <c r="Y23" s="9"/>
      <c r="Z23" s="3">
        <v>2.2999999999999998</v>
      </c>
      <c r="AA23" s="3">
        <v>2.2999999999999998</v>
      </c>
      <c r="AB23" s="3">
        <v>2.2999999999999998</v>
      </c>
      <c r="AC23" s="3">
        <v>2.2999999999999998</v>
      </c>
      <c r="AD23" s="3">
        <v>2.2999999999999998</v>
      </c>
      <c r="AE23" s="9"/>
      <c r="AF23" s="9"/>
      <c r="AG23" s="3">
        <f>SUM(C23:AF23)</f>
        <v>23.000000000000004</v>
      </c>
      <c r="AH23" s="13">
        <f>(AG23/$AG$33)*0.17</f>
        <v>0.17</v>
      </c>
    </row>
    <row r="24" spans="1:34" ht="19.5" x14ac:dyDescent="0.45">
      <c r="A24" s="30" t="s">
        <v>42</v>
      </c>
      <c r="B24" s="31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10"/>
      <c r="S24" s="4">
        <f>SUM(S23:S23)</f>
        <v>2.2999999999999998</v>
      </c>
      <c r="T24" s="4">
        <f>SUM(T23:T23)</f>
        <v>2.2999999999999998</v>
      </c>
      <c r="U24" s="4">
        <f>SUM(U23:U23)</f>
        <v>2.2999999999999998</v>
      </c>
      <c r="V24" s="4">
        <f>SUM(V23:V23)</f>
        <v>2.2999999999999998</v>
      </c>
      <c r="W24" s="4">
        <f>SUM(W23:W23)</f>
        <v>2.2999999999999998</v>
      </c>
      <c r="X24" s="10"/>
      <c r="Y24" s="10"/>
      <c r="Z24" s="4">
        <f>SUM(Z23:Z23)</f>
        <v>2.2999999999999998</v>
      </c>
      <c r="AA24" s="4">
        <f>SUM(AA23:AA23)</f>
        <v>2.2999999999999998</v>
      </c>
      <c r="AB24" s="4">
        <f>SUM(AB23:AB23)</f>
        <v>2.2999999999999998</v>
      </c>
      <c r="AC24" s="4">
        <f>SUM(AC23:AC23)</f>
        <v>2.2999999999999998</v>
      </c>
      <c r="AD24" s="4">
        <f>SUM(AD23:AD23)</f>
        <v>2.2999999999999998</v>
      </c>
      <c r="AE24" s="10"/>
      <c r="AF24" s="10"/>
      <c r="AG24" s="4">
        <f>SUM(AG23:AG23)</f>
        <v>23.000000000000004</v>
      </c>
      <c r="AH24" s="11">
        <f>AG24/$AG$33</f>
        <v>1</v>
      </c>
    </row>
    <row r="25" spans="1:34" ht="19.5" x14ac:dyDescent="0.45">
      <c r="A25" s="15" t="s">
        <v>43</v>
      </c>
      <c r="B25" s="1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9"/>
      <c r="S25" s="3">
        <f>2.3-S24</f>
        <v>0</v>
      </c>
      <c r="T25" s="3">
        <f>2.3-T24</f>
        <v>0</v>
      </c>
      <c r="U25" s="3">
        <f>2.3-U24</f>
        <v>0</v>
      </c>
      <c r="V25" s="3">
        <f>2.3-V24</f>
        <v>0</v>
      </c>
      <c r="W25" s="3">
        <f>2.3-W24</f>
        <v>0</v>
      </c>
      <c r="X25" s="9"/>
      <c r="Y25" s="9"/>
      <c r="Z25" s="3">
        <f>2.3-Z24</f>
        <v>0</v>
      </c>
      <c r="AA25" s="3">
        <f>2.3-AA24</f>
        <v>0</v>
      </c>
      <c r="AB25" s="3">
        <f>2.3-AB24</f>
        <v>0</v>
      </c>
      <c r="AC25" s="3">
        <f>2.3-AC24</f>
        <v>0</v>
      </c>
      <c r="AD25" s="3">
        <f>2.3-AD24</f>
        <v>0</v>
      </c>
      <c r="AE25" s="9"/>
      <c r="AF25" s="9"/>
      <c r="AG25" s="3">
        <f t="shared" ref="AG25:AG31" si="0">SUM(C25:AF25)</f>
        <v>0</v>
      </c>
    </row>
    <row r="26" spans="1:34" ht="19.5" x14ac:dyDescent="0.45">
      <c r="A26" s="15"/>
      <c r="B26" s="1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9"/>
      <c r="S26" s="3"/>
      <c r="T26" s="3"/>
      <c r="U26" s="3"/>
      <c r="V26" s="3"/>
      <c r="W26" s="3"/>
      <c r="X26" s="9"/>
      <c r="Y26" s="9"/>
      <c r="Z26" s="3"/>
      <c r="AA26" s="3"/>
      <c r="AB26" s="3"/>
      <c r="AC26" s="3"/>
      <c r="AD26" s="3"/>
      <c r="AE26" s="9"/>
      <c r="AF26" s="9"/>
      <c r="AG26" s="3">
        <f t="shared" si="0"/>
        <v>0</v>
      </c>
    </row>
    <row r="27" spans="1:34" ht="19.5" x14ac:dyDescent="0.45">
      <c r="A27" s="15"/>
      <c r="B27" s="1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9"/>
      <c r="S27" s="3"/>
      <c r="T27" s="3"/>
      <c r="U27" s="3"/>
      <c r="V27" s="3"/>
      <c r="W27" s="3"/>
      <c r="X27" s="9"/>
      <c r="Y27" s="9"/>
      <c r="Z27" s="3"/>
      <c r="AA27" s="3"/>
      <c r="AB27" s="3"/>
      <c r="AC27" s="3"/>
      <c r="AD27" s="3"/>
      <c r="AE27" s="9"/>
      <c r="AF27" s="9"/>
      <c r="AG27" s="3">
        <f t="shared" si="0"/>
        <v>0</v>
      </c>
    </row>
    <row r="28" spans="1:34" ht="19.5" x14ac:dyDescent="0.45">
      <c r="A28" s="15"/>
      <c r="B28" s="1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9"/>
      <c r="S28" s="3"/>
      <c r="T28" s="3"/>
      <c r="U28" s="3"/>
      <c r="V28" s="3"/>
      <c r="W28" s="3"/>
      <c r="X28" s="9"/>
      <c r="Y28" s="9"/>
      <c r="Z28" s="3"/>
      <c r="AA28" s="3"/>
      <c r="AB28" s="3"/>
      <c r="AC28" s="3"/>
      <c r="AD28" s="3"/>
      <c r="AE28" s="9"/>
      <c r="AF28" s="9"/>
      <c r="AG28" s="3">
        <f t="shared" si="0"/>
        <v>0</v>
      </c>
    </row>
    <row r="29" spans="1:34" ht="19.5" x14ac:dyDescent="0.45">
      <c r="A29" s="15" t="s">
        <v>44</v>
      </c>
      <c r="B29" s="1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9"/>
      <c r="S29" s="3"/>
      <c r="T29" s="3"/>
      <c r="U29" s="3"/>
      <c r="V29" s="3"/>
      <c r="W29" s="3"/>
      <c r="X29" s="9"/>
      <c r="Y29" s="9"/>
      <c r="Z29" s="3"/>
      <c r="AA29" s="3"/>
      <c r="AB29" s="3"/>
      <c r="AC29" s="3"/>
      <c r="AD29" s="3"/>
      <c r="AE29" s="9"/>
      <c r="AF29" s="9"/>
      <c r="AG29" s="3">
        <f t="shared" si="0"/>
        <v>0</v>
      </c>
    </row>
    <row r="30" spans="1:34" ht="19.5" x14ac:dyDescent="0.45">
      <c r="A30" s="15" t="s">
        <v>45</v>
      </c>
      <c r="B30" s="1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9"/>
      <c r="S30" s="3"/>
      <c r="T30" s="3"/>
      <c r="U30" s="3"/>
      <c r="V30" s="3"/>
      <c r="W30" s="3"/>
      <c r="X30" s="9"/>
      <c r="Y30" s="9"/>
      <c r="Z30" s="3"/>
      <c r="AA30" s="3"/>
      <c r="AB30" s="3"/>
      <c r="AC30" s="3"/>
      <c r="AD30" s="3"/>
      <c r="AE30" s="9"/>
      <c r="AF30" s="9"/>
      <c r="AG30" s="3">
        <f t="shared" si="0"/>
        <v>0</v>
      </c>
    </row>
    <row r="31" spans="1:34" ht="19.5" x14ac:dyDescent="0.45">
      <c r="A31" s="15" t="s">
        <v>46</v>
      </c>
      <c r="B31" s="1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9"/>
      <c r="S31" s="3"/>
      <c r="T31" s="3"/>
      <c r="U31" s="3"/>
      <c r="V31" s="3"/>
      <c r="W31" s="3"/>
      <c r="X31" s="9"/>
      <c r="Y31" s="9"/>
      <c r="Z31" s="3"/>
      <c r="AA31" s="3"/>
      <c r="AB31" s="3"/>
      <c r="AC31" s="3"/>
      <c r="AD31" s="3"/>
      <c r="AE31" s="9"/>
      <c r="AF31" s="9"/>
      <c r="AG31" s="3">
        <f t="shared" si="0"/>
        <v>0</v>
      </c>
    </row>
    <row r="32" spans="1:34" ht="19.5" x14ac:dyDescent="0.45">
      <c r="A32" s="12" t="s">
        <v>47</v>
      </c>
      <c r="B32" s="12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0"/>
      <c r="S32" s="4">
        <f>SUM(S24:S28)</f>
        <v>2.2999999999999998</v>
      </c>
      <c r="T32" s="4">
        <f>SUM(T24:T28)</f>
        <v>2.2999999999999998</v>
      </c>
      <c r="U32" s="4">
        <f>SUM(U24:U28)</f>
        <v>2.2999999999999998</v>
      </c>
      <c r="V32" s="4">
        <f>SUM(V24:V28)</f>
        <v>2.2999999999999998</v>
      </c>
      <c r="W32" s="4">
        <f>SUM(W24:W28)</f>
        <v>2.2999999999999998</v>
      </c>
      <c r="X32" s="10"/>
      <c r="Y32" s="10"/>
      <c r="Z32" s="4">
        <f>SUM(Z24:Z28)</f>
        <v>2.2999999999999998</v>
      </c>
      <c r="AA32" s="4">
        <f>SUM(AA24:AA28)</f>
        <v>2.2999999999999998</v>
      </c>
      <c r="AB32" s="4">
        <f>SUM(AB24:AB28)</f>
        <v>2.2999999999999998</v>
      </c>
      <c r="AC32" s="4">
        <f>SUM(AC24:AC28)</f>
        <v>2.2999999999999998</v>
      </c>
      <c r="AD32" s="4">
        <f>SUM(AD24:AD28)</f>
        <v>2.2999999999999998</v>
      </c>
      <c r="AE32" s="10"/>
      <c r="AF32" s="10"/>
      <c r="AG32" s="4">
        <f>SUM(AG24:AG28)</f>
        <v>23.000000000000004</v>
      </c>
    </row>
    <row r="33" spans="1:33" ht="19.5" x14ac:dyDescent="0.45">
      <c r="A33" s="12" t="s">
        <v>48</v>
      </c>
      <c r="B33" s="1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2">
        <f>SUM(AG29:AG32)</f>
        <v>23.000000000000004</v>
      </c>
    </row>
    <row r="36" spans="1:33" x14ac:dyDescent="0.35">
      <c r="A36" s="17" t="s">
        <v>49</v>
      </c>
      <c r="B36" s="17" t="s">
        <v>50</v>
      </c>
      <c r="W36" s="20" t="s">
        <v>51</v>
      </c>
      <c r="X36" s="21"/>
      <c r="Y36" s="21"/>
      <c r="Z36" s="21"/>
      <c r="AA36" s="22"/>
      <c r="AB36" s="20" t="s">
        <v>9</v>
      </c>
      <c r="AC36" s="21"/>
      <c r="AD36" s="21"/>
      <c r="AE36" s="22"/>
    </row>
    <row r="37" spans="1:33" x14ac:dyDescent="0.35">
      <c r="A37" s="18"/>
      <c r="B37" s="18"/>
      <c r="W37" s="23"/>
      <c r="X37" s="24"/>
      <c r="Y37" s="24"/>
      <c r="Z37" s="24"/>
      <c r="AA37" s="25"/>
      <c r="AB37" s="23"/>
      <c r="AC37" s="24"/>
      <c r="AD37" s="24"/>
      <c r="AE37" s="25"/>
    </row>
    <row r="38" spans="1:33" ht="19.5" x14ac:dyDescent="0.35">
      <c r="A38" s="19"/>
      <c r="B38" s="14">
        <v>45055</v>
      </c>
      <c r="W38" s="26"/>
      <c r="X38" s="27"/>
      <c r="Y38" s="27"/>
      <c r="Z38" s="27"/>
      <c r="AA38" s="28"/>
      <c r="AB38" s="29" t="s">
        <v>52</v>
      </c>
      <c r="AC38" s="27"/>
      <c r="AD38" s="27"/>
      <c r="AE38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2024-04-15T07:09:21Z</dcterms:created>
  <dcterms:modified xsi:type="dcterms:W3CDTF">2024-04-15T07:14:25Z</dcterms:modified>
  <cp:category/>
</cp:coreProperties>
</file>