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90D15354-162C-4B48-92F5-1490F6C099BD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D27" i="1"/>
  <c r="AF26" i="1"/>
  <c r="AE26" i="1"/>
  <c r="AE27" i="1" s="1"/>
  <c r="AE34" i="1" s="1"/>
  <c r="AD26" i="1"/>
  <c r="AD27" i="1" s="1"/>
  <c r="AD34" i="1" s="1"/>
  <c r="AC26" i="1"/>
  <c r="AC27" i="1" s="1"/>
  <c r="AC34" i="1" s="1"/>
  <c r="AB26" i="1"/>
  <c r="AB27" i="1" s="1"/>
  <c r="Y26" i="1"/>
  <c r="Y27" i="1" s="1"/>
  <c r="X26" i="1"/>
  <c r="X27" i="1" s="1"/>
  <c r="W26" i="1"/>
  <c r="V26" i="1"/>
  <c r="V27" i="1" s="1"/>
  <c r="U26" i="1"/>
  <c r="U27" i="1" s="1"/>
  <c r="R26" i="1"/>
  <c r="Q26" i="1"/>
  <c r="P26" i="1"/>
  <c r="O26" i="1"/>
  <c r="O27" i="1" s="1"/>
  <c r="O34" i="1" s="1"/>
  <c r="N26" i="1"/>
  <c r="N27" i="1" s="1"/>
  <c r="N34" i="1" s="1"/>
  <c r="K26" i="1"/>
  <c r="K27" i="1" s="1"/>
  <c r="K34" i="1" s="1"/>
  <c r="J26" i="1"/>
  <c r="J27" i="1" s="1"/>
  <c r="I26" i="1"/>
  <c r="I27" i="1" s="1"/>
  <c r="H26" i="1"/>
  <c r="H27" i="1" s="1"/>
  <c r="D26" i="1"/>
  <c r="C26" i="1"/>
  <c r="C27" i="1" s="1"/>
  <c r="AG25" i="1"/>
  <c r="AG24" i="1"/>
  <c r="AG23" i="1"/>
  <c r="Y34" i="1" l="1"/>
  <c r="R27" i="1"/>
  <c r="R34" i="1" s="1"/>
  <c r="AB34" i="1"/>
  <c r="W27" i="1"/>
  <c r="W34" i="1" s="1"/>
  <c r="U34" i="1"/>
  <c r="Q27" i="1"/>
  <c r="Q34" i="1" s="1"/>
  <c r="J34" i="1"/>
  <c r="I34" i="1"/>
  <c r="D34" i="1"/>
  <c r="AG26" i="1"/>
  <c r="P16" i="1" s="1"/>
  <c r="X16" i="1" s="1"/>
  <c r="C34" i="1"/>
  <c r="V34" i="1"/>
  <c r="H34" i="1"/>
  <c r="X34" i="1"/>
  <c r="P27" i="1"/>
  <c r="P34" i="1" s="1"/>
  <c r="AF27" i="1"/>
  <c r="AF34" i="1" s="1"/>
  <c r="AG27" i="1" l="1"/>
  <c r="AG34" i="1" s="1"/>
  <c r="H16" i="1" l="1"/>
  <c r="AG35" i="1"/>
  <c r="AH25" i="1" l="1"/>
  <c r="AH24" i="1"/>
  <c r="AH23" i="1"/>
  <c r="AH26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<sst xmlns="http://schemas.openxmlformats.org/spreadsheetml/2006/main" count="81" uniqueCount="57">
  <si>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</si>
  <si>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</si>
  <si>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</si>
  <si>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</si>
  <si>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</si>
  <si>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</si>
  <si>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</si>
  <si>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</si>
  <si>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</si>
  <si>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</si>
  <si>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</si>
  <si>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</si>
  <si>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</si>
  <si>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</si>
  <si>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</si>
  <si>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</si>
  <si>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</si>
  <si>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</si>
  <si>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</si>
  <si>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</si>
  <si>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</si>
  <si>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</si>
  <si>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</si>
  <si>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</si>
  <si>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</si>
  <si>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</si>
  <si>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</si>
  <si>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</si>
  <si>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</si>
  <si>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</si>
  <si>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</si>
  <si>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</si>
  <si>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</si>
  <si>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</si>
  <si>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</si>
  <si>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</si>
  <si>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</si>
  <si>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</si>
  <si>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</si>
  <si>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</si>
  <si>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</si>
  <si>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Estimated:38.64 h</t>
  </si>
  <si>
    <t>PE113800 AI4HF - WP8 Project management, dissemination and communication</t>
  </si>
  <si>
    <t>Dedicacion: 1% Estimated:1.61 h</t>
  </si>
  <si>
    <t>PE104500 DataTools4Heart - WP3 Multilingual standardization of structured and unstructured health data</t>
  </si>
  <si>
    <t>Dedicacion: 5% Estimated:8.05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</si>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</sst>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55" zoomScaleNormal="55" workbookViewId="0">
      <selection activeCell="S41" sqref="S41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17" t="s">
        <v>1</v>
      </c>
      <c r="D2" s="17"/>
      <c r="E2" s="17"/>
    </row>
    <row r="4" spans="1:33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45">
      <c r="F16" s="24" t="s">
        <v>17</v>
      </c>
      <c r="G16" s="16"/>
      <c r="H16" s="25">
        <f>AG34</f>
        <v>48.3</v>
      </c>
      <c r="I16" s="25"/>
      <c r="K16" s="24" t="s">
        <v>18</v>
      </c>
      <c r="L16" s="16"/>
      <c r="M16" s="16"/>
      <c r="N16" s="16"/>
      <c r="O16" s="16"/>
      <c r="P16" s="25">
        <f>AG26</f>
        <v>48.3</v>
      </c>
      <c r="Q16" s="25"/>
      <c r="S16" s="24" t="s">
        <v>19</v>
      </c>
      <c r="T16" s="16"/>
      <c r="U16" s="16"/>
      <c r="V16" s="16"/>
      <c r="W16" s="16"/>
      <c r="X16" s="25">
        <f>(P16/2.3) *0.3</f>
        <v>6.3</v>
      </c>
      <c r="Y16" s="25"/>
    </row>
    <row r="19" spans="1:34" ht="19.5" x14ac:dyDescent="0.45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9" t="s">
        <v>36</v>
      </c>
      <c r="AH19" s="30" t="s">
        <v>37</v>
      </c>
    </row>
    <row r="20" spans="1:34" ht="19.5" x14ac:dyDescent="0.45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9"/>
      <c r="AH20" s="31"/>
    </row>
    <row r="21" spans="1:34" ht="19.5" x14ac:dyDescent="0.45">
      <c r="A21" s="17" t="s">
        <v>38</v>
      </c>
      <c r="B21" s="17"/>
      <c r="C21" s="26"/>
      <c r="D21" s="26"/>
      <c r="E21" s="27"/>
      <c r="F21" s="27"/>
      <c r="G21" s="28"/>
      <c r="H21" s="26"/>
      <c r="I21" s="26"/>
      <c r="J21" s="26"/>
      <c r="K21" s="26"/>
      <c r="L21" s="27"/>
      <c r="M21" s="27"/>
      <c r="N21" s="26"/>
      <c r="O21" s="26"/>
      <c r="P21" s="26"/>
      <c r="Q21" s="26"/>
      <c r="R21" s="26"/>
      <c r="S21" s="27"/>
      <c r="T21" s="27"/>
      <c r="U21" s="26"/>
      <c r="V21" s="26"/>
      <c r="W21" s="26"/>
      <c r="X21" s="26"/>
      <c r="Y21" s="26"/>
      <c r="Z21" s="28"/>
      <c r="AA21" s="27"/>
      <c r="AB21" s="26"/>
      <c r="AC21" s="26"/>
      <c r="AD21" s="26"/>
      <c r="AE21" s="26"/>
      <c r="AF21" s="26"/>
      <c r="AG21" s="26"/>
      <c r="AH21" s="32"/>
    </row>
    <row r="22" spans="1:34" ht="19.5" x14ac:dyDescent="0.45">
      <c r="A22" s="33" t="s">
        <v>39</v>
      </c>
      <c r="B22" s="33"/>
      <c r="C22" s="26"/>
      <c r="D22" s="26"/>
      <c r="E22" s="27"/>
      <c r="F22" s="27"/>
      <c r="G22" s="28"/>
      <c r="H22" s="26"/>
      <c r="I22" s="26"/>
      <c r="J22" s="26"/>
      <c r="K22" s="26"/>
      <c r="L22" s="27"/>
      <c r="M22" s="27"/>
      <c r="N22" s="26"/>
      <c r="O22" s="26"/>
      <c r="P22" s="26"/>
      <c r="Q22" s="26"/>
      <c r="R22" s="26"/>
      <c r="S22" s="27"/>
      <c r="T22" s="27"/>
      <c r="U22" s="26"/>
      <c r="V22" s="26"/>
      <c r="W22" s="26"/>
      <c r="X22" s="26"/>
      <c r="Y22" s="26"/>
      <c r="Z22" s="28"/>
      <c r="AA22" s="27"/>
      <c r="AB22" s="26"/>
      <c r="AC22" s="26"/>
      <c r="AD22" s="26"/>
      <c r="AE22" s="26"/>
      <c r="AF22" s="26"/>
      <c r="AG22" s="26"/>
      <c r="AH22" s="32"/>
    </row>
    <row r="23" spans="1:34" ht="19.5" x14ac:dyDescent="0.45">
      <c r="A23" s="12" t="s">
        <v>40</v>
      </c>
      <c r="B23" s="12" t="s">
        <v>41</v>
      </c>
      <c r="C23" s="3">
        <v>2.2999999999999998</v>
      </c>
      <c r="D23" s="3">
        <v>2.2999999999999998</v>
      </c>
      <c r="E23" s="6"/>
      <c r="F23" s="6"/>
      <c r="G23" s="9"/>
      <c r="H23" s="3">
        <v>2.2999999999999998</v>
      </c>
      <c r="I23" s="3">
        <v>2.2999999999999998</v>
      </c>
      <c r="J23" s="3">
        <v>2.2999999999999998</v>
      </c>
      <c r="K23" s="3">
        <v>0</v>
      </c>
      <c r="L23" s="6"/>
      <c r="M23" s="6"/>
      <c r="N23" s="3">
        <v>2.2999999999999998</v>
      </c>
      <c r="O23" s="3">
        <v>2.2999999999999998</v>
      </c>
      <c r="P23" s="3">
        <v>2.2999999999999998</v>
      </c>
      <c r="Q23" s="3">
        <v>2.2999999999999998</v>
      </c>
      <c r="R23" s="3">
        <v>0</v>
      </c>
      <c r="S23" s="6"/>
      <c r="T23" s="6"/>
      <c r="U23" s="3">
        <v>2.2999999999999998</v>
      </c>
      <c r="V23" s="3">
        <v>2.2999999999999998</v>
      </c>
      <c r="W23" s="3">
        <v>2.2999999999999998</v>
      </c>
      <c r="X23" s="3">
        <v>2.2999999999999998</v>
      </c>
      <c r="Y23" s="3">
        <v>0</v>
      </c>
      <c r="Z23" s="9"/>
      <c r="AA23" s="6"/>
      <c r="AB23" s="3">
        <v>2.2999999999999998</v>
      </c>
      <c r="AC23" s="3">
        <v>2.2999999999999998</v>
      </c>
      <c r="AD23" s="3">
        <v>2.2999999999999998</v>
      </c>
      <c r="AE23" s="3">
        <v>2.2999999999999998</v>
      </c>
      <c r="AF23" s="3">
        <v>0</v>
      </c>
      <c r="AG23" s="3">
        <f>SUM(C23:AF23)</f>
        <v>39.099999999999994</v>
      </c>
      <c r="AH23" s="13">
        <f>(AG23/$AG$35)*0.3</f>
        <v>0.24285714285714283</v>
      </c>
    </row>
    <row r="24" spans="1:34" ht="19.5" x14ac:dyDescent="0.45">
      <c r="A24" s="12" t="s">
        <v>42</v>
      </c>
      <c r="B24" s="12" t="s">
        <v>43</v>
      </c>
      <c r="C24" s="3">
        <v>0</v>
      </c>
      <c r="D24" s="3">
        <v>0</v>
      </c>
      <c r="E24" s="6"/>
      <c r="F24" s="6"/>
      <c r="G24" s="9"/>
      <c r="H24" s="3">
        <v>0</v>
      </c>
      <c r="I24" s="3">
        <v>0</v>
      </c>
      <c r="J24" s="3">
        <v>0</v>
      </c>
      <c r="K24" s="3">
        <v>1.6</v>
      </c>
      <c r="L24" s="6"/>
      <c r="M24" s="6"/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6"/>
      <c r="T24" s="6"/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9"/>
      <c r="AA24" s="6"/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f>SUM(C24:AF24)</f>
        <v>1.6</v>
      </c>
      <c r="AH24" s="13">
        <f>(AG24/$AG$35)*0.3</f>
        <v>9.9378881987577643E-3</v>
      </c>
    </row>
    <row r="25" spans="1:34" ht="19.5" x14ac:dyDescent="0.45">
      <c r="A25" s="12" t="s">
        <v>44</v>
      </c>
      <c r="B25" s="12" t="s">
        <v>45</v>
      </c>
      <c r="C25" s="3">
        <v>0</v>
      </c>
      <c r="D25" s="3">
        <v>0</v>
      </c>
      <c r="E25" s="6"/>
      <c r="F25" s="6"/>
      <c r="G25" s="9"/>
      <c r="H25" s="3">
        <v>0</v>
      </c>
      <c r="I25" s="3">
        <v>0</v>
      </c>
      <c r="J25" s="3">
        <v>0</v>
      </c>
      <c r="K25" s="3">
        <v>0.7</v>
      </c>
      <c r="L25" s="6"/>
      <c r="M25" s="6"/>
      <c r="N25" s="3">
        <v>0</v>
      </c>
      <c r="O25" s="3">
        <v>0</v>
      </c>
      <c r="P25" s="3">
        <v>0</v>
      </c>
      <c r="Q25" s="3">
        <v>0</v>
      </c>
      <c r="R25" s="3">
        <v>2.2999999999999998</v>
      </c>
      <c r="S25" s="6"/>
      <c r="T25" s="6"/>
      <c r="U25" s="3">
        <v>0</v>
      </c>
      <c r="V25" s="3">
        <v>0</v>
      </c>
      <c r="W25" s="3">
        <v>0</v>
      </c>
      <c r="X25" s="3">
        <v>0</v>
      </c>
      <c r="Y25" s="3">
        <v>2.2999999999999998</v>
      </c>
      <c r="Z25" s="9"/>
      <c r="AA25" s="6"/>
      <c r="AB25" s="3">
        <v>0</v>
      </c>
      <c r="AC25" s="3">
        <v>0</v>
      </c>
      <c r="AD25" s="3">
        <v>0</v>
      </c>
      <c r="AE25" s="3">
        <v>0</v>
      </c>
      <c r="AF25" s="3">
        <v>2.2999999999999998</v>
      </c>
      <c r="AG25" s="3">
        <f>SUM(C25:AF25)</f>
        <v>7.6</v>
      </c>
      <c r="AH25" s="13">
        <f>(AG25/$AG$35)*0.3</f>
        <v>4.7204968944099375E-2</v>
      </c>
    </row>
    <row r="26" spans="1:34" ht="19.5" x14ac:dyDescent="0.45">
      <c r="A26" s="34" t="s">
        <v>46</v>
      </c>
      <c r="B26" s="35"/>
      <c r="C26" s="4">
        <f>SUM(C23:C25)</f>
        <v>2.2999999999999998</v>
      </c>
      <c r="D26" s="4">
        <f>SUM(D23:D25)</f>
        <v>2.2999999999999998</v>
      </c>
      <c r="E26" s="7"/>
      <c r="F26" s="7"/>
      <c r="G26" s="10"/>
      <c r="H26" s="4">
        <f>SUM(H23:H25)</f>
        <v>2.2999999999999998</v>
      </c>
      <c r="I26" s="4">
        <f>SUM(I23:I25)</f>
        <v>2.2999999999999998</v>
      </c>
      <c r="J26" s="4">
        <f>SUM(J23:J25)</f>
        <v>2.2999999999999998</v>
      </c>
      <c r="K26" s="4">
        <f>SUM(K23:K25)</f>
        <v>2.2999999999999998</v>
      </c>
      <c r="L26" s="7"/>
      <c r="M26" s="7"/>
      <c r="N26" s="4">
        <f>SUM(N23:N25)</f>
        <v>2.2999999999999998</v>
      </c>
      <c r="O26" s="4">
        <f>SUM(O23:O25)</f>
        <v>2.2999999999999998</v>
      </c>
      <c r="P26" s="4">
        <f>SUM(P23:P25)</f>
        <v>2.2999999999999998</v>
      </c>
      <c r="Q26" s="4">
        <f>SUM(Q23:Q25)</f>
        <v>2.2999999999999998</v>
      </c>
      <c r="R26" s="4">
        <f>SUM(R23:R25)</f>
        <v>2.2999999999999998</v>
      </c>
      <c r="S26" s="7"/>
      <c r="T26" s="7"/>
      <c r="U26" s="4">
        <f>SUM(U23:U25)</f>
        <v>2.2999999999999998</v>
      </c>
      <c r="V26" s="4">
        <f>SUM(V23:V25)</f>
        <v>2.2999999999999998</v>
      </c>
      <c r="W26" s="4">
        <f>SUM(W23:W25)</f>
        <v>2.2999999999999998</v>
      </c>
      <c r="X26" s="4">
        <f>SUM(X23:X25)</f>
        <v>2.2999999999999998</v>
      </c>
      <c r="Y26" s="4">
        <f>SUM(Y23:Y25)</f>
        <v>2.2999999999999998</v>
      </c>
      <c r="Z26" s="10"/>
      <c r="AA26" s="7"/>
      <c r="AB26" s="4">
        <f t="shared" ref="AB26:AG26" si="0">SUM(AB23:AB25)</f>
        <v>2.2999999999999998</v>
      </c>
      <c r="AC26" s="4">
        <f t="shared" si="0"/>
        <v>2.2999999999999998</v>
      </c>
      <c r="AD26" s="4">
        <f t="shared" si="0"/>
        <v>2.2999999999999998</v>
      </c>
      <c r="AE26" s="4">
        <f t="shared" si="0"/>
        <v>2.2999999999999998</v>
      </c>
      <c r="AF26" s="4">
        <f t="shared" si="0"/>
        <v>2.2999999999999998</v>
      </c>
      <c r="AG26" s="4">
        <f t="shared" si="0"/>
        <v>48.3</v>
      </c>
      <c r="AH26" s="11">
        <f>AG26/$AG$35</f>
        <v>1</v>
      </c>
    </row>
    <row r="27" spans="1:34" ht="19.5" x14ac:dyDescent="0.45">
      <c r="A27" s="36" t="s">
        <v>47</v>
      </c>
      <c r="B27" s="36"/>
      <c r="C27" s="3">
        <f>2.3-C26</f>
        <v>0</v>
      </c>
      <c r="D27" s="3">
        <f>2.3-D26</f>
        <v>0</v>
      </c>
      <c r="E27" s="6"/>
      <c r="F27" s="6"/>
      <c r="G27" s="9"/>
      <c r="H27" s="3">
        <f>2.3-H26</f>
        <v>0</v>
      </c>
      <c r="I27" s="3">
        <f>2.3-I26</f>
        <v>0</v>
      </c>
      <c r="J27" s="3">
        <f>2.3-J26</f>
        <v>0</v>
      </c>
      <c r="K27" s="3">
        <f>2.3-K26</f>
        <v>0</v>
      </c>
      <c r="L27" s="6"/>
      <c r="M27" s="6"/>
      <c r="N27" s="3">
        <f>2.3-N26</f>
        <v>0</v>
      </c>
      <c r="O27" s="3">
        <f>2.3-O26</f>
        <v>0</v>
      </c>
      <c r="P27" s="3">
        <f>2.3-P26</f>
        <v>0</v>
      </c>
      <c r="Q27" s="3">
        <f>2.3-Q26</f>
        <v>0</v>
      </c>
      <c r="R27" s="3">
        <f>2.3-R26</f>
        <v>0</v>
      </c>
      <c r="S27" s="6"/>
      <c r="T27" s="6"/>
      <c r="U27" s="3">
        <f>2.3-U26</f>
        <v>0</v>
      </c>
      <c r="V27" s="3">
        <f>2.3-V26</f>
        <v>0</v>
      </c>
      <c r="W27" s="3">
        <f>2.3-W26</f>
        <v>0</v>
      </c>
      <c r="X27" s="3">
        <f>2.3-X26</f>
        <v>0</v>
      </c>
      <c r="Y27" s="3">
        <f>2.3-Y26</f>
        <v>0</v>
      </c>
      <c r="Z27" s="9"/>
      <c r="AA27" s="6"/>
      <c r="AB27" s="3">
        <f>2.3-AB26</f>
        <v>0</v>
      </c>
      <c r="AC27" s="3">
        <f>2.3-AC26</f>
        <v>0</v>
      </c>
      <c r="AD27" s="3">
        <f>2.3-AD26</f>
        <v>0</v>
      </c>
      <c r="AE27" s="3">
        <f>2.3-AE26</f>
        <v>0</v>
      </c>
      <c r="AF27" s="3">
        <f>2.3-AF26</f>
        <v>0</v>
      </c>
      <c r="AG27" s="3">
        <f t="shared" ref="AG27:AG33" si="1">SUM(C27:AF27)</f>
        <v>0</v>
      </c>
    </row>
    <row r="28" spans="1:34" ht="19.5" x14ac:dyDescent="0.45">
      <c r="A28" s="36"/>
      <c r="B28" s="36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3"/>
      <c r="AC28" s="3"/>
      <c r="AD28" s="3"/>
      <c r="AE28" s="3"/>
      <c r="AF28" s="3"/>
      <c r="AG28" s="3">
        <f t="shared" si="1"/>
        <v>0</v>
      </c>
    </row>
    <row r="29" spans="1:34" ht="19.5" x14ac:dyDescent="0.45">
      <c r="A29" s="36"/>
      <c r="B29" s="36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45">
      <c r="A30" s="36"/>
      <c r="B30" s="36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45">
      <c r="A31" s="36" t="s">
        <v>48</v>
      </c>
      <c r="B31" s="36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45">
      <c r="A32" s="36" t="s">
        <v>49</v>
      </c>
      <c r="B32" s="36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3"/>
      <c r="AC32" s="3"/>
      <c r="AD32" s="3"/>
      <c r="AE32" s="3"/>
      <c r="AF32" s="3"/>
      <c r="AG32" s="3">
        <f t="shared" si="1"/>
        <v>0</v>
      </c>
    </row>
    <row r="33" spans="1:33" ht="19.5" x14ac:dyDescent="0.45">
      <c r="A33" s="36" t="s">
        <v>50</v>
      </c>
      <c r="B33" s="36"/>
      <c r="C33" s="3"/>
      <c r="D33" s="3"/>
      <c r="E33" s="6"/>
      <c r="F33" s="6"/>
      <c r="G33" s="9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9"/>
      <c r="AA33" s="6"/>
      <c r="AB33" s="3"/>
      <c r="AC33" s="3"/>
      <c r="AD33" s="3"/>
      <c r="AE33" s="3"/>
      <c r="AF33" s="3"/>
      <c r="AG33" s="3">
        <f t="shared" si="1"/>
        <v>0</v>
      </c>
    </row>
    <row r="34" spans="1:33" ht="19.5" x14ac:dyDescent="0.45">
      <c r="A34" s="12" t="s">
        <v>51</v>
      </c>
      <c r="B34" s="12"/>
      <c r="C34" s="4">
        <f>SUM(C26:C30)</f>
        <v>2.2999999999999998</v>
      </c>
      <c r="D34" s="4">
        <f>SUM(D26:D30)</f>
        <v>2.2999999999999998</v>
      </c>
      <c r="E34" s="7"/>
      <c r="F34" s="7"/>
      <c r="G34" s="10"/>
      <c r="H34" s="4">
        <f>SUM(H26:H30)</f>
        <v>2.2999999999999998</v>
      </c>
      <c r="I34" s="4">
        <f>SUM(I26:I30)</f>
        <v>2.2999999999999998</v>
      </c>
      <c r="J34" s="4">
        <f>SUM(J26:J30)</f>
        <v>2.2999999999999998</v>
      </c>
      <c r="K34" s="4">
        <f>SUM(K26:K30)</f>
        <v>2.2999999999999998</v>
      </c>
      <c r="L34" s="7"/>
      <c r="M34" s="7"/>
      <c r="N34" s="4">
        <f>SUM(N26:N30)</f>
        <v>2.2999999999999998</v>
      </c>
      <c r="O34" s="4">
        <f>SUM(O26:O30)</f>
        <v>2.2999999999999998</v>
      </c>
      <c r="P34" s="4">
        <f>SUM(P26:P30)</f>
        <v>2.2999999999999998</v>
      </c>
      <c r="Q34" s="4">
        <f>SUM(Q26:Q30)</f>
        <v>2.2999999999999998</v>
      </c>
      <c r="R34" s="4">
        <f>SUM(R26:R30)</f>
        <v>2.2999999999999998</v>
      </c>
      <c r="S34" s="7"/>
      <c r="T34" s="7"/>
      <c r="U34" s="4">
        <f>SUM(U26:U30)</f>
        <v>2.2999999999999998</v>
      </c>
      <c r="V34" s="4">
        <f>SUM(V26:V30)</f>
        <v>2.2999999999999998</v>
      </c>
      <c r="W34" s="4">
        <f>SUM(W26:W30)</f>
        <v>2.2999999999999998</v>
      </c>
      <c r="X34" s="4">
        <f>SUM(X26:X30)</f>
        <v>2.2999999999999998</v>
      </c>
      <c r="Y34" s="4">
        <f>SUM(Y26:Y30)</f>
        <v>2.2999999999999998</v>
      </c>
      <c r="Z34" s="10"/>
      <c r="AA34" s="7"/>
      <c r="AB34" s="4">
        <f t="shared" ref="AB34:AG34" si="2">SUM(AB26:AB30)</f>
        <v>2.2999999999999998</v>
      </c>
      <c r="AC34" s="4">
        <f t="shared" si="2"/>
        <v>2.2999999999999998</v>
      </c>
      <c r="AD34" s="4">
        <f t="shared" si="2"/>
        <v>2.2999999999999998</v>
      </c>
      <c r="AE34" s="4">
        <f t="shared" si="2"/>
        <v>2.2999999999999998</v>
      </c>
      <c r="AF34" s="4">
        <f t="shared" si="2"/>
        <v>2.2999999999999998</v>
      </c>
      <c r="AG34" s="4">
        <f t="shared" si="2"/>
        <v>48.3</v>
      </c>
    </row>
    <row r="35" spans="1:33" ht="19.5" x14ac:dyDescent="0.45">
      <c r="A35" s="12" t="s">
        <v>52</v>
      </c>
      <c r="B35" s="1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">
        <f>SUM(AG31:AG34)</f>
        <v>48.3</v>
      </c>
    </row>
    <row r="38" spans="1:33" x14ac:dyDescent="0.35">
      <c r="A38" s="30" t="s">
        <v>53</v>
      </c>
      <c r="B38" s="30" t="s">
        <v>54</v>
      </c>
      <c r="W38" s="38" t="s">
        <v>55</v>
      </c>
      <c r="X38" s="39"/>
      <c r="Y38" s="39"/>
      <c r="Z38" s="39"/>
      <c r="AA38" s="40"/>
      <c r="AB38" s="38" t="s">
        <v>9</v>
      </c>
      <c r="AC38" s="39"/>
      <c r="AD38" s="39"/>
      <c r="AE38" s="40"/>
    </row>
    <row r="39" spans="1:33" x14ac:dyDescent="0.35">
      <c r="A39" s="37"/>
      <c r="B39" s="37"/>
      <c r="W39" s="41"/>
      <c r="X39" s="42"/>
      <c r="Y39" s="42"/>
      <c r="Z39" s="42"/>
      <c r="AA39" s="43"/>
      <c r="AB39" s="41"/>
      <c r="AC39" s="42"/>
      <c r="AD39" s="42"/>
      <c r="AE39" s="43"/>
    </row>
    <row r="40" spans="1:33" ht="19.5" x14ac:dyDescent="0.35">
      <c r="A40" s="31"/>
      <c r="B40" s="14">
        <v>45121</v>
      </c>
      <c r="W40" s="44"/>
      <c r="X40" s="45"/>
      <c r="Y40" s="45"/>
      <c r="Z40" s="45"/>
      <c r="AA40" s="46"/>
      <c r="AB40" s="47" t="s">
        <v>56</v>
      </c>
      <c r="AC40" s="45"/>
      <c r="AD40" s="45"/>
      <c r="AE40" s="46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2024-04-15T07:09:22Z</dcterms:created>
  <dcterms:modified xsi:type="dcterms:W3CDTF">2024-04-15T07:23:34Z</dcterms:modified>
  <cp:category/>
</cp:coreProperties>
</file>