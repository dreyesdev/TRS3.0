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5B35F3D8-1FAA-4B39-942E-3EDF352565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AG33" i="1"/>
  <c r="AG32" i="1"/>
  <c r="AG31" i="1"/>
  <c r="AG30" i="1"/>
  <c r="AG29" i="1"/>
  <c r="AG28" i="1"/>
  <c r="AE27" i="1"/>
  <c r="AB27" i="1"/>
  <c r="U27" i="1"/>
  <c r="N27" i="1"/>
  <c r="M27" i="1"/>
  <c r="G27" i="1"/>
  <c r="G34" i="1" s="1"/>
  <c r="F27" i="1"/>
  <c r="E27" i="1"/>
  <c r="D27" i="1"/>
  <c r="AF26" i="1"/>
  <c r="AF27" i="1" s="1"/>
  <c r="AE26" i="1"/>
  <c r="AB26" i="1"/>
  <c r="AA26" i="1"/>
  <c r="AA27" i="1" s="1"/>
  <c r="AA34" i="1" s="1"/>
  <c r="Z26" i="1"/>
  <c r="Y26" i="1"/>
  <c r="X26" i="1"/>
  <c r="U26" i="1"/>
  <c r="T26" i="1"/>
  <c r="S26" i="1"/>
  <c r="R26" i="1"/>
  <c r="Q26" i="1"/>
  <c r="N26" i="1"/>
  <c r="M26" i="1"/>
  <c r="L26" i="1"/>
  <c r="L27" i="1" s="1"/>
  <c r="K26" i="1"/>
  <c r="K27" i="1" s="1"/>
  <c r="J26" i="1"/>
  <c r="J27" i="1" s="1"/>
  <c r="G26" i="1"/>
  <c r="F26" i="1"/>
  <c r="E26" i="1"/>
  <c r="D26" i="1"/>
  <c r="AG25" i="1"/>
  <c r="AG24" i="1"/>
  <c r="AG23" i="1"/>
  <c r="AB34" i="1" l="1"/>
  <c r="AF34" i="1"/>
  <c r="AE34" i="1"/>
  <c r="X27" i="1"/>
  <c r="X34" i="1" s="1"/>
  <c r="Y27" i="1"/>
  <c r="Y34" i="1" s="1"/>
  <c r="Z27" i="1"/>
  <c r="Z34" i="1" s="1"/>
  <c r="Q34" i="1"/>
  <c r="R34" i="1"/>
  <c r="U34" i="1"/>
  <c r="Q27" i="1"/>
  <c r="R27" i="1"/>
  <c r="S27" i="1"/>
  <c r="S34" i="1" s="1"/>
  <c r="T27" i="1"/>
  <c r="T34" i="1" s="1"/>
  <c r="AG26" i="1"/>
  <c r="P16" i="1" s="1"/>
  <c r="X16" i="1" s="1"/>
  <c r="L34" i="1"/>
  <c r="M34" i="1"/>
  <c r="N34" i="1"/>
  <c r="J34" i="1"/>
  <c r="E34" i="1"/>
  <c r="D34" i="1"/>
  <c r="K34" i="1"/>
  <c r="AG27" i="1" l="1"/>
  <c r="AG34" i="1" s="1"/>
  <c r="H16" i="1" s="1"/>
  <c r="AG35" i="1" l="1"/>
  <c r="AH26" i="1" s="1"/>
  <c r="AH24" i="1"/>
  <c r="AH23" i="1"/>
  <c r="AH25" i="1" l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<sst xmlns="http://schemas.openxmlformats.org/spreadsheetml/2006/main" count="82" uniqueCount="57">
  <si>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</si>
  <si>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</si>
  <si>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</si>
  <si>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</si>
  <si>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</si>
  <si>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</si>
  <si>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</si>
  <si>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</si>
  <si>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</si>
  <si>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</si>
  <si>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</si>
  <si>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</si>
  <si>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</si>
  <si>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</si>
  <si>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</si>
  <si>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</si>
  <si>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</si>
  <si>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</si>
  <si>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</si>
  <si>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</si>
  <si>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</si>
  <si>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</si>
  <si>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</si>
  <si>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</si>
  <si>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</si>
  <si>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</si>
  <si>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</si>
  <si>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</si>
  <si>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</si>
  <si>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</si>
  <si>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</si>
  <si>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</si>
  <si>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</si>
  <si>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</si>
  <si>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</si>
  <si>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</si>
  <si>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</si>
  <si>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</si>
  <si>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</si>
  <si>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</si>
  <si>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</si>
  <si>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Estimated:63 h</t>
  </si>
  <si>
    <t>PE104100 DT-GEO - WP3 Computational infrastructure and AI</t>
  </si>
  <si>
    <t>PE104100 DT-GEO - WP4 EOSC-enabled data management plan and exploitation</t>
  </si>
  <si>
    <t>Dedicacion: 20% Estimated:31.5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</si>
  <si>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</si>
  <si>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</si>
  <si>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</si>
  <si>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</si>
  <si>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</si>
  <si>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</si>
  <si>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</si>
  <si>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</si>
  <si>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</si>
  <si>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2024-05-02</t>
  </si>
  <si>
    <t xml:space="preserve">Date and signature of staff member:	</t>
  </si>
  <si>
    <t>2024-05-10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</si>
</sst>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71" zoomScaleNormal="71" workbookViewId="0">
      <selection activeCell="A29" sqref="A29:B29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AG34</f>
        <v>157.5</v>
      </c>
      <c r="I16" s="25"/>
      <c r="K16" s="24" t="s">
        <v>18</v>
      </c>
      <c r="L16" s="16"/>
      <c r="M16" s="16"/>
      <c r="N16" s="16"/>
      <c r="O16" s="16"/>
      <c r="P16" s="26">
        <f>AG26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3">
        <v>7.5</v>
      </c>
      <c r="G23" s="3">
        <v>7.5</v>
      </c>
      <c r="H23" s="9"/>
      <c r="I23" s="9"/>
      <c r="J23" s="3">
        <v>7.5</v>
      </c>
      <c r="K23" s="3">
        <v>7.5</v>
      </c>
      <c r="L23" s="3">
        <v>3</v>
      </c>
      <c r="M23" s="3">
        <v>7.5</v>
      </c>
      <c r="N23" s="3">
        <v>7.5</v>
      </c>
      <c r="O23" s="9"/>
      <c r="P23" s="9"/>
      <c r="Q23" s="3"/>
      <c r="R23" s="3"/>
      <c r="S23" s="3"/>
      <c r="T23" s="3"/>
      <c r="U23" s="3"/>
      <c r="V23" s="9"/>
      <c r="W23" s="9"/>
      <c r="X23" s="3"/>
      <c r="Y23" s="3"/>
      <c r="Z23" s="3"/>
      <c r="AA23" s="3"/>
      <c r="AB23" s="3"/>
      <c r="AC23" s="9"/>
      <c r="AD23" s="9"/>
      <c r="AE23" s="3"/>
      <c r="AF23" s="3"/>
      <c r="AG23" s="3">
        <f>SUM(C23:AF23)</f>
        <v>63</v>
      </c>
      <c r="AH23" s="13">
        <f>AG23/$AG$35</f>
        <v>0.4</v>
      </c>
    </row>
    <row r="24" spans="1:34" ht="19.5" x14ac:dyDescent="0.3">
      <c r="A24" s="12" t="s">
        <v>42</v>
      </c>
      <c r="B24" s="12" t="s">
        <v>41</v>
      </c>
      <c r="C24" s="6"/>
      <c r="D24" s="3"/>
      <c r="E24" s="3"/>
      <c r="F24" s="3"/>
      <c r="G24" s="3"/>
      <c r="H24" s="9"/>
      <c r="I24" s="9"/>
      <c r="J24" s="3"/>
      <c r="K24" s="3"/>
      <c r="L24" s="3">
        <v>4.5</v>
      </c>
      <c r="M24" s="3"/>
      <c r="N24" s="3"/>
      <c r="O24" s="9"/>
      <c r="P24" s="9"/>
      <c r="Q24" s="3">
        <v>7.5</v>
      </c>
      <c r="R24" s="3">
        <v>7.5</v>
      </c>
      <c r="S24" s="3">
        <v>7.5</v>
      </c>
      <c r="T24" s="3">
        <v>7.5</v>
      </c>
      <c r="U24" s="3">
        <v>7.5</v>
      </c>
      <c r="V24" s="9"/>
      <c r="W24" s="9"/>
      <c r="X24" s="3">
        <v>6</v>
      </c>
      <c r="Y24" s="3">
        <v>7.5</v>
      </c>
      <c r="Z24" s="3">
        <v>7.5</v>
      </c>
      <c r="AA24" s="3"/>
      <c r="AB24" s="3"/>
      <c r="AC24" s="9"/>
      <c r="AD24" s="9"/>
      <c r="AE24" s="3"/>
      <c r="AF24" s="3"/>
      <c r="AG24" s="3">
        <f>SUM(C24:AF24)</f>
        <v>63</v>
      </c>
      <c r="AH24" s="13">
        <f>AG24/$AG$35</f>
        <v>0.4</v>
      </c>
    </row>
    <row r="25" spans="1:34" ht="19.5" x14ac:dyDescent="0.3">
      <c r="A25" s="12" t="s">
        <v>43</v>
      </c>
      <c r="B25" s="12" t="s">
        <v>44</v>
      </c>
      <c r="C25" s="6"/>
      <c r="D25" s="3"/>
      <c r="E25" s="3"/>
      <c r="F25" s="3"/>
      <c r="G25" s="3"/>
      <c r="H25" s="9"/>
      <c r="I25" s="9"/>
      <c r="J25" s="3"/>
      <c r="K25" s="3"/>
      <c r="L25" s="3"/>
      <c r="M25" s="3"/>
      <c r="N25" s="3"/>
      <c r="O25" s="9"/>
      <c r="P25" s="9"/>
      <c r="Q25" s="3"/>
      <c r="R25" s="3"/>
      <c r="S25" s="3"/>
      <c r="T25" s="3"/>
      <c r="U25" s="3"/>
      <c r="V25" s="9"/>
      <c r="W25" s="9"/>
      <c r="X25" s="3">
        <v>1.5</v>
      </c>
      <c r="Y25" s="3"/>
      <c r="Z25" s="3"/>
      <c r="AA25" s="3">
        <v>7.5</v>
      </c>
      <c r="AB25" s="3">
        <v>7.5</v>
      </c>
      <c r="AC25" s="9"/>
      <c r="AD25" s="9"/>
      <c r="AE25" s="3">
        <v>7.5</v>
      </c>
      <c r="AF25" s="3">
        <v>7.5</v>
      </c>
      <c r="AG25" s="3">
        <f>SUM(C25:AF25)</f>
        <v>31.5</v>
      </c>
      <c r="AH25" s="13">
        <f>AG25/$AG$35</f>
        <v>0.2</v>
      </c>
    </row>
    <row r="26" spans="1:34" ht="19.5" x14ac:dyDescent="0.3">
      <c r="A26" s="35" t="s">
        <v>45</v>
      </c>
      <c r="B26" s="36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10"/>
      <c r="I26" s="10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0"/>
      <c r="P26" s="10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0"/>
      <c r="W26" s="10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0"/>
      <c r="AD26" s="10"/>
      <c r="AE26" s="4">
        <f>SUM(AE23:AE25)</f>
        <v>7.5</v>
      </c>
      <c r="AF26" s="4">
        <f>SUM(AF23:AF25)</f>
        <v>7.5</v>
      </c>
      <c r="AG26" s="4">
        <f>SUM(AG23:AG25)</f>
        <v>157.5</v>
      </c>
      <c r="AH26" s="11">
        <f>AG26/$AG$35</f>
        <v>1</v>
      </c>
    </row>
    <row r="27" spans="1:34" ht="19.5" x14ac:dyDescent="0.3">
      <c r="A27" s="37" t="s">
        <v>46</v>
      </c>
      <c r="B27" s="37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9"/>
      <c r="I27" s="9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9"/>
      <c r="P27" s="9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9"/>
      <c r="W27" s="9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9"/>
      <c r="AD27" s="9"/>
      <c r="AE27" s="3">
        <f>7.5-AE26</f>
        <v>0</v>
      </c>
      <c r="AF27" s="3">
        <f>7.5-AF26</f>
        <v>0</v>
      </c>
      <c r="AG27" s="3">
        <f t="shared" ref="AG27:AG33" si="0">SUM(C27:AF27)</f>
        <v>0</v>
      </c>
    </row>
    <row r="28" spans="1:34" ht="19.5" x14ac:dyDescent="0.3">
      <c r="A28" s="37"/>
      <c r="B28" s="37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37"/>
      <c r="B29" s="37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37"/>
      <c r="B30" s="37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37" t="s">
        <v>47</v>
      </c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37" t="s">
        <v>48</v>
      </c>
      <c r="B32" s="37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3">
      <c r="A33" s="37" t="s">
        <v>49</v>
      </c>
      <c r="B33" s="37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>
        <f t="shared" si="0"/>
        <v>0</v>
      </c>
    </row>
    <row r="34" spans="1:33" ht="19.5" x14ac:dyDescent="0.3">
      <c r="A34" s="12" t="s">
        <v>50</v>
      </c>
      <c r="B34" s="12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10"/>
      <c r="I34" s="10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0"/>
      <c r="P34" s="10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0"/>
      <c r="W34" s="10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0"/>
      <c r="AD34" s="10"/>
      <c r="AE34" s="4">
        <f>SUM(AE26:AE30)</f>
        <v>7.5</v>
      </c>
      <c r="AF34" s="4">
        <f>SUM(AF26:AF30)</f>
        <v>7.5</v>
      </c>
      <c r="AG34" s="4">
        <f>SUM(AG26:AG30)</f>
        <v>157.5</v>
      </c>
    </row>
    <row r="35" spans="1:33" ht="19.5" x14ac:dyDescent="0.3">
      <c r="A35" s="12" t="s">
        <v>51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">
        <f>SUM(AG31:AG34)</f>
        <v>157.5</v>
      </c>
    </row>
    <row r="38" spans="1:33" x14ac:dyDescent="0.25">
      <c r="A38" s="31" t="s">
        <v>52</v>
      </c>
      <c r="B38" s="31" t="s">
        <v>53</v>
      </c>
      <c r="W38" s="39" t="s">
        <v>55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3" x14ac:dyDescent="0.25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3" ht="19.5" x14ac:dyDescent="0.25">
      <c r="A40" s="32"/>
      <c r="B40" s="14" t="s">
        <v>54</v>
      </c>
      <c r="W40" s="45"/>
      <c r="X40" s="46"/>
      <c r="Y40" s="46"/>
      <c r="Z40" s="46"/>
      <c r="AA40" s="47"/>
      <c r="AB40" s="48" t="s">
        <v>56</v>
      </c>
      <c r="AC40" s="46"/>
      <c r="AD40" s="46"/>
      <c r="AE40" s="47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2024-09-20T08:09:16Z</dcterms:created>
  <dcterms:modified xsi:type="dcterms:W3CDTF">2024-09-20T09:22:28Z</dcterms:modified>
  <cp:category/>
</cp:coreProperties>
</file>