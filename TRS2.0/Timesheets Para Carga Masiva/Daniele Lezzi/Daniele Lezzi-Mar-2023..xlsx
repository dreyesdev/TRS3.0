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niele Lezzi\"/>
    </mc:Choice>
  </mc:AlternateContent>
  <bookViews>
    <workbookView xWindow="0" yWindow="0" windowWidth="20160" windowHeight="8832"/>
  </bookViews>
  <sheets>
    <sheet name="Wo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8" i="1" l="1"/>
  <c r="AH37" i="1"/>
  <c r="AH36" i="1"/>
  <c r="AH35" i="1"/>
  <c r="AH34" i="1"/>
  <c r="AH33" i="1"/>
  <c r="AG31" i="1"/>
  <c r="AG32" i="1" s="1"/>
  <c r="AF31" i="1"/>
  <c r="AF32" i="1" s="1"/>
  <c r="AE31" i="1"/>
  <c r="AE32" i="1" s="1"/>
  <c r="AD31" i="1"/>
  <c r="AD32" i="1" s="1"/>
  <c r="AC31" i="1"/>
  <c r="AC32" i="1" s="1"/>
  <c r="AC39" i="1" s="1"/>
  <c r="Z31" i="1"/>
  <c r="Z32" i="1" s="1"/>
  <c r="Z39" i="1" s="1"/>
  <c r="Y31" i="1"/>
  <c r="X31" i="1"/>
  <c r="W31" i="1"/>
  <c r="V31" i="1"/>
  <c r="V32" i="1" s="1"/>
  <c r="S31" i="1"/>
  <c r="S32" i="1" s="1"/>
  <c r="R31" i="1"/>
  <c r="R32" i="1" s="1"/>
  <c r="Q31" i="1"/>
  <c r="Q32" i="1" s="1"/>
  <c r="Q39" i="1" s="1"/>
  <c r="P31" i="1"/>
  <c r="P32" i="1" s="1"/>
  <c r="P39" i="1" s="1"/>
  <c r="O31" i="1"/>
  <c r="K31" i="1"/>
  <c r="K32" i="1" s="1"/>
  <c r="J31" i="1"/>
  <c r="J32" i="1" s="1"/>
  <c r="I31" i="1"/>
  <c r="I32" i="1" s="1"/>
  <c r="H31" i="1"/>
  <c r="H32" i="1" s="1"/>
  <c r="E31" i="1"/>
  <c r="E32" i="1" s="1"/>
  <c r="D31" i="1"/>
  <c r="D32" i="1" s="1"/>
  <c r="D39" i="1" s="1"/>
  <c r="C31" i="1"/>
  <c r="C32" i="1" s="1"/>
  <c r="AH30" i="1"/>
  <c r="AH29" i="1"/>
  <c r="AH28" i="1"/>
  <c r="AH27" i="1"/>
  <c r="AH26" i="1"/>
  <c r="AH25" i="1"/>
  <c r="AH24" i="1"/>
  <c r="AH23" i="1"/>
  <c r="J39" i="1" l="1"/>
  <c r="AH31" i="1"/>
  <c r="P16" i="1" s="1"/>
  <c r="X16" i="1" s="1"/>
  <c r="C39" i="1"/>
  <c r="O32" i="1"/>
  <c r="O39" i="1" s="1"/>
  <c r="Y32" i="1"/>
  <c r="Y39" i="1" s="1"/>
  <c r="E39" i="1"/>
  <c r="R39" i="1"/>
  <c r="AD39" i="1"/>
  <c r="W32" i="1"/>
  <c r="W39" i="1" s="1"/>
  <c r="H39" i="1"/>
  <c r="S39" i="1"/>
  <c r="AE39" i="1"/>
  <c r="I39" i="1"/>
  <c r="V39" i="1"/>
  <c r="AF39" i="1"/>
  <c r="AG39" i="1"/>
  <c r="X32" i="1"/>
  <c r="X39" i="1" s="1"/>
  <c r="K39" i="1"/>
  <c r="AH32" i="1" l="1"/>
  <c r="AH39" i="1" s="1"/>
  <c r="H16" i="1" s="1"/>
  <c r="AH40" i="1" l="1"/>
  <c r="AI28" i="1" s="1"/>
  <c r="AI30" i="1" l="1"/>
  <c r="AI24" i="1"/>
  <c r="AI26" i="1"/>
  <c r="AI23" i="1"/>
  <c r="AI31" i="1"/>
  <c r="AI25" i="1"/>
  <c r="AI29" i="1"/>
  <c r="AI27" i="1"/>
</calcChain>
</file>

<file path=xl/sharedStrings.xml><?xml version="1.0" encoding="utf-8"?>
<sst xmlns="http://schemas.openxmlformats.org/spreadsheetml/2006/main" count="103" uniqueCount="74">
  <si>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</si>
  <si>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</si>
  <si>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</si>
  <si>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</si>
  <si>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</si>
  <si>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</si>
  <si>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</si>
  <si>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</si>
  <si>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</si>
  <si>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</si>
  <si>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</si>
  <si>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</si>
  <si>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</si>
  <si>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</si>
  <si>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</si>
  <si>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</si>
  <si>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</si>
  <si>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</si>
  <si>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</si>
  <si>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</si>
  <si>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</si>
  <si>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</si>
  <si>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</si>
  <si>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</si>
  <si>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</si>
  <si>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</si>
  <si>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</si>
  <si>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</si>
  <si>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</si>
  <si>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</si>
  <si>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</si>
  <si>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</si>
  <si>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</si>
  <si>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</si>
  <si>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</si>
  <si>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</si>
  <si>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</si>
  <si>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</si>
  <si>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</si>
  <si>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</si>
  <si>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PE092900 AI-SPRINT - WP2 Design time tools</t>
  </si>
  <si>
    <t>Dedicacion: 25% Estimated:44 h</t>
  </si>
  <si>
    <t>PE092900 AI-SPRINT - WP3 Runtime environment</t>
  </si>
  <si>
    <t>PE092900 AI-SPRINT - WP7 Project management</t>
  </si>
  <si>
    <t>Dedicacion: 5% Estimated:8.8 h</t>
  </si>
  <si>
    <t xml:space="preserve">PE093900 EOSC Future - Task 10.1 Computer Science </t>
  </si>
  <si>
    <t>Dedicacion: 10% Estimated:17.6 h</t>
  </si>
  <si>
    <t>PE093900 EOSC Future - Task 9.3 Computer Science</t>
  </si>
  <si>
    <t>PE104100 DT-GEO - WP2 Workflows and data architecture</t>
  </si>
  <si>
    <t>PE104100 DT-GEO - WP3 Computational infrastructure and AI</t>
  </si>
  <si>
    <t>PE084500 eFlows4HPC - WP8 Dissemination and Communication</t>
  </si>
  <si>
    <t>Dedicacion: 15% Estimated:26.4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</si>
  <si>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</si>
  <si>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</si>
  <si>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</si>
  <si>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</si>
  <si>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</si>
  <si>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</si>
  <si>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</si>
  <si>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</si>
  <si>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</si>
  <si>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2023-04-03</t>
  </si>
  <si>
    <t xml:space="preserve">Date and signature of staff member:	</t>
  </si>
  <si>
    <t>2023-04-06</t>
  </si>
  <si>
    <t>TRAVELS</t>
  </si>
  <si>
    <t>Liq Id</t>
  </si>
  <si>
    <t>Project</t>
  </si>
  <si>
    <t>Dedication</t>
  </si>
  <si>
    <t>StartDate</t>
  </si>
  <si>
    <t>EndDate</t>
  </si>
  <si>
    <t>0374/23</t>
  </si>
  <si>
    <t>2023-03-20</t>
  </si>
  <si>
    <t>2023-03-21</t>
  </si>
  <si>
    <t>PE084500 eFlows4HPC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</si>
</sst>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49"/>
  <sheetViews>
    <sheetView tabSelected="1" zoomScale="40" zoomScaleNormal="40" workbookViewId="0">
      <selection activeCell="AN9" sqref="AN9"/>
    </sheetView>
  </sheetViews>
  <sheetFormatPr baseColWidth="10" defaultColWidth="8.77734375" defaultRowHeight="14.4" x14ac:dyDescent="0.3"/>
  <cols>
    <col min="1" max="2" width="40" customWidth="1"/>
    <col min="3" max="3" width="13.33203125" bestFit="1" customWidth="1"/>
    <col min="4" max="4" width="11.88671875" bestFit="1" customWidth="1"/>
    <col min="5" max="5" width="10.6640625" bestFit="1" customWidth="1"/>
  </cols>
  <sheetData>
    <row r="2" spans="1:34" ht="19.8" x14ac:dyDescent="0.4">
      <c r="C2" s="20" t="s">
        <v>1</v>
      </c>
      <c r="D2" s="20"/>
      <c r="E2" s="20"/>
    </row>
    <row r="4" spans="1:34" ht="19.8" x14ac:dyDescent="0.4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5.8" x14ac:dyDescent="0.5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8" x14ac:dyDescent="0.4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8" x14ac:dyDescent="0.4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8" x14ac:dyDescent="0.4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8" x14ac:dyDescent="0.4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8" x14ac:dyDescent="0.4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8" x14ac:dyDescent="0.4">
      <c r="F16" s="27" t="s">
        <v>17</v>
      </c>
      <c r="G16" s="19"/>
      <c r="H16" s="28">
        <f>AH39</f>
        <v>176</v>
      </c>
      <c r="I16" s="28"/>
      <c r="K16" s="27" t="s">
        <v>18</v>
      </c>
      <c r="L16" s="19"/>
      <c r="M16" s="19"/>
      <c r="N16" s="19"/>
      <c r="O16" s="19"/>
      <c r="P16" s="28">
        <f>AH31</f>
        <v>176</v>
      </c>
      <c r="Q16" s="28"/>
      <c r="S16" s="27" t="s">
        <v>19</v>
      </c>
      <c r="T16" s="19"/>
      <c r="U16" s="19"/>
      <c r="V16" s="19"/>
      <c r="W16" s="19"/>
      <c r="X16" s="28">
        <f>(P16/8) *1</f>
        <v>22</v>
      </c>
      <c r="Y16" s="28"/>
    </row>
    <row r="19" spans="1:35" ht="19.8" x14ac:dyDescent="0.4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8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11" t="s">
        <v>30</v>
      </c>
      <c r="W19" s="11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3" t="s">
        <v>36</v>
      </c>
      <c r="AI19" s="34" t="s">
        <v>37</v>
      </c>
    </row>
    <row r="20" spans="1:35" ht="19.8" x14ac:dyDescent="0.4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8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11">
        <v>20</v>
      </c>
      <c r="W20" s="11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3"/>
      <c r="AI20" s="35"/>
    </row>
    <row r="21" spans="1:35" ht="19.8" x14ac:dyDescent="0.4">
      <c r="A21" s="20" t="s">
        <v>38</v>
      </c>
      <c r="B21" s="20"/>
      <c r="C21" s="29"/>
      <c r="D21" s="29"/>
      <c r="E21" s="29"/>
      <c r="F21" s="30"/>
      <c r="G21" s="30"/>
      <c r="H21" s="29"/>
      <c r="I21" s="29"/>
      <c r="J21" s="29"/>
      <c r="K21" s="29"/>
      <c r="L21" s="31"/>
      <c r="M21" s="30"/>
      <c r="N21" s="30"/>
      <c r="O21" s="29"/>
      <c r="P21" s="29"/>
      <c r="Q21" s="29"/>
      <c r="R21" s="29"/>
      <c r="S21" s="29"/>
      <c r="T21" s="30"/>
      <c r="U21" s="30"/>
      <c r="V21" s="32"/>
      <c r="W21" s="32"/>
      <c r="X21" s="29"/>
      <c r="Y21" s="29"/>
      <c r="Z21" s="29"/>
      <c r="AA21" s="30"/>
      <c r="AB21" s="30"/>
      <c r="AC21" s="29"/>
      <c r="AD21" s="29"/>
      <c r="AE21" s="29"/>
      <c r="AF21" s="29"/>
      <c r="AG21" s="29"/>
      <c r="AH21" s="29"/>
      <c r="AI21" s="36"/>
    </row>
    <row r="22" spans="1:35" ht="19.8" x14ac:dyDescent="0.4">
      <c r="A22" s="37" t="s">
        <v>39</v>
      </c>
      <c r="B22" s="37"/>
      <c r="C22" s="29"/>
      <c r="D22" s="29"/>
      <c r="E22" s="29"/>
      <c r="F22" s="30"/>
      <c r="G22" s="30"/>
      <c r="H22" s="29"/>
      <c r="I22" s="29"/>
      <c r="J22" s="29"/>
      <c r="K22" s="29"/>
      <c r="L22" s="31"/>
      <c r="M22" s="30"/>
      <c r="N22" s="30"/>
      <c r="O22" s="29"/>
      <c r="P22" s="29"/>
      <c r="Q22" s="29"/>
      <c r="R22" s="29"/>
      <c r="S22" s="29"/>
      <c r="T22" s="30"/>
      <c r="U22" s="30"/>
      <c r="V22" s="32"/>
      <c r="W22" s="32"/>
      <c r="X22" s="29"/>
      <c r="Y22" s="29"/>
      <c r="Z22" s="29"/>
      <c r="AA22" s="30"/>
      <c r="AB22" s="30"/>
      <c r="AC22" s="29"/>
      <c r="AD22" s="29"/>
      <c r="AE22" s="29"/>
      <c r="AF22" s="29"/>
      <c r="AG22" s="29"/>
      <c r="AH22" s="29"/>
      <c r="AI22" s="36"/>
    </row>
    <row r="23" spans="1:35" ht="19.8" x14ac:dyDescent="0.4">
      <c r="A23" s="15" t="s">
        <v>40</v>
      </c>
      <c r="B23" s="15" t="s">
        <v>41</v>
      </c>
      <c r="C23" s="3"/>
      <c r="D23" s="3">
        <v>3</v>
      </c>
      <c r="E23" s="3">
        <v>4.5</v>
      </c>
      <c r="F23" s="6"/>
      <c r="G23" s="6"/>
      <c r="H23" s="3">
        <v>3</v>
      </c>
      <c r="I23" s="3">
        <v>4</v>
      </c>
      <c r="J23" s="3">
        <v>2.5</v>
      </c>
      <c r="K23" s="3">
        <v>2</v>
      </c>
      <c r="L23" s="9"/>
      <c r="M23" s="6"/>
      <c r="N23" s="6"/>
      <c r="O23" s="3">
        <v>2</v>
      </c>
      <c r="P23" s="3">
        <v>1.5</v>
      </c>
      <c r="Q23" s="3">
        <v>3</v>
      </c>
      <c r="R23" s="3">
        <v>3</v>
      </c>
      <c r="S23" s="3">
        <v>4.5</v>
      </c>
      <c r="T23" s="6"/>
      <c r="U23" s="6"/>
      <c r="V23" s="12"/>
      <c r="W23" s="12"/>
      <c r="X23" s="3">
        <v>3</v>
      </c>
      <c r="Y23" s="3">
        <v>2.5</v>
      </c>
      <c r="Z23" s="3"/>
      <c r="AA23" s="6"/>
      <c r="AB23" s="6"/>
      <c r="AC23" s="3"/>
      <c r="AD23" s="3"/>
      <c r="AE23" s="3">
        <v>3</v>
      </c>
      <c r="AF23" s="3">
        <v>2.5</v>
      </c>
      <c r="AG23" s="3"/>
      <c r="AH23" s="3">
        <f t="shared" ref="AH23:AH30" si="0">SUM(C23:AG23)</f>
        <v>44</v>
      </c>
      <c r="AI23" s="16">
        <f t="shared" ref="AI23:AI31" si="1">AH23/$AH$40</f>
        <v>0.25</v>
      </c>
    </row>
    <row r="24" spans="1:35" ht="19.8" x14ac:dyDescent="0.4">
      <c r="A24" s="15" t="s">
        <v>42</v>
      </c>
      <c r="B24" s="15" t="s">
        <v>41</v>
      </c>
      <c r="C24" s="3">
        <v>3</v>
      </c>
      <c r="D24" s="3">
        <v>1.5</v>
      </c>
      <c r="E24" s="3">
        <v>1.5</v>
      </c>
      <c r="F24" s="6"/>
      <c r="G24" s="6"/>
      <c r="H24" s="3">
        <v>2</v>
      </c>
      <c r="I24" s="3">
        <v>2</v>
      </c>
      <c r="J24" s="3"/>
      <c r="K24" s="3">
        <v>3</v>
      </c>
      <c r="L24" s="9"/>
      <c r="M24" s="6"/>
      <c r="N24" s="6"/>
      <c r="O24" s="3">
        <v>3</v>
      </c>
      <c r="P24" s="3">
        <v>2.5</v>
      </c>
      <c r="Q24" s="3"/>
      <c r="R24" s="3">
        <v>3.5</v>
      </c>
      <c r="S24" s="3">
        <v>2.5</v>
      </c>
      <c r="T24" s="6"/>
      <c r="U24" s="6"/>
      <c r="V24" s="12"/>
      <c r="W24" s="12"/>
      <c r="X24" s="3">
        <v>4</v>
      </c>
      <c r="Y24" s="3">
        <v>2.5</v>
      </c>
      <c r="Z24" s="3">
        <v>3</v>
      </c>
      <c r="AA24" s="6"/>
      <c r="AB24" s="6"/>
      <c r="AC24" s="3">
        <v>3</v>
      </c>
      <c r="AD24" s="3">
        <v>3</v>
      </c>
      <c r="AE24" s="3">
        <v>2</v>
      </c>
      <c r="AF24" s="3"/>
      <c r="AG24" s="3">
        <v>2</v>
      </c>
      <c r="AH24" s="3">
        <f t="shared" si="0"/>
        <v>44</v>
      </c>
      <c r="AI24" s="16">
        <f t="shared" si="1"/>
        <v>0.25</v>
      </c>
    </row>
    <row r="25" spans="1:35" ht="19.8" x14ac:dyDescent="0.4">
      <c r="A25" s="15" t="s">
        <v>43</v>
      </c>
      <c r="B25" s="15" t="s">
        <v>44</v>
      </c>
      <c r="C25" s="3">
        <v>2.5</v>
      </c>
      <c r="D25" s="3">
        <v>1.5</v>
      </c>
      <c r="E25" s="3"/>
      <c r="F25" s="6"/>
      <c r="G25" s="6"/>
      <c r="H25" s="3"/>
      <c r="I25" s="3"/>
      <c r="J25" s="3"/>
      <c r="K25" s="3">
        <v>2</v>
      </c>
      <c r="L25" s="9"/>
      <c r="M25" s="6"/>
      <c r="N25" s="6"/>
      <c r="O25" s="3">
        <v>2</v>
      </c>
      <c r="P25" s="3"/>
      <c r="Q25" s="3"/>
      <c r="R25" s="3"/>
      <c r="S25" s="3"/>
      <c r="T25" s="6"/>
      <c r="U25" s="6"/>
      <c r="V25" s="12"/>
      <c r="W25" s="12"/>
      <c r="X25" s="3">
        <v>1</v>
      </c>
      <c r="Y25" s="3"/>
      <c r="Z25" s="3"/>
      <c r="AA25" s="6"/>
      <c r="AB25" s="6"/>
      <c r="AC25" s="3"/>
      <c r="AD25" s="3"/>
      <c r="AE25" s="3"/>
      <c r="AF25" s="3"/>
      <c r="AG25" s="3"/>
      <c r="AH25" s="3">
        <f t="shared" si="0"/>
        <v>9</v>
      </c>
      <c r="AI25" s="16">
        <f t="shared" si="1"/>
        <v>5.113636363636364E-2</v>
      </c>
    </row>
    <row r="26" spans="1:35" ht="19.8" x14ac:dyDescent="0.4">
      <c r="A26" s="15" t="s">
        <v>45</v>
      </c>
      <c r="B26" s="15" t="s">
        <v>46</v>
      </c>
      <c r="C26" s="3">
        <v>2</v>
      </c>
      <c r="D26" s="3"/>
      <c r="E26" s="3">
        <v>1.5</v>
      </c>
      <c r="F26" s="6"/>
      <c r="G26" s="6"/>
      <c r="H26" s="3">
        <v>2</v>
      </c>
      <c r="I26" s="3">
        <v>2</v>
      </c>
      <c r="J26" s="3">
        <v>4</v>
      </c>
      <c r="K26" s="3"/>
      <c r="L26" s="9"/>
      <c r="M26" s="6"/>
      <c r="N26" s="6"/>
      <c r="O26" s="3"/>
      <c r="P26" s="3">
        <v>3</v>
      </c>
      <c r="Q26" s="3"/>
      <c r="R26" s="3"/>
      <c r="S26" s="3"/>
      <c r="T26" s="6"/>
      <c r="U26" s="6"/>
      <c r="V26" s="12"/>
      <c r="W26" s="12"/>
      <c r="X26" s="3"/>
      <c r="Y26" s="3"/>
      <c r="Z26" s="3">
        <v>3</v>
      </c>
      <c r="AA26" s="6"/>
      <c r="AB26" s="6"/>
      <c r="AC26" s="3"/>
      <c r="AD26" s="3"/>
      <c r="AE26" s="3"/>
      <c r="AF26" s="3"/>
      <c r="AG26" s="3"/>
      <c r="AH26" s="3">
        <f t="shared" si="0"/>
        <v>17.5</v>
      </c>
      <c r="AI26" s="16">
        <f t="shared" si="1"/>
        <v>9.9431818181818177E-2</v>
      </c>
    </row>
    <row r="27" spans="1:35" ht="19.8" x14ac:dyDescent="0.4">
      <c r="A27" s="15" t="s">
        <v>47</v>
      </c>
      <c r="B27" s="15" t="s">
        <v>46</v>
      </c>
      <c r="C27" s="3"/>
      <c r="D27" s="3"/>
      <c r="E27" s="3"/>
      <c r="F27" s="6"/>
      <c r="G27" s="6"/>
      <c r="H27" s="3"/>
      <c r="I27" s="3"/>
      <c r="J27" s="3"/>
      <c r="K27" s="3"/>
      <c r="L27" s="9"/>
      <c r="M27" s="6"/>
      <c r="N27" s="6"/>
      <c r="O27" s="3"/>
      <c r="P27" s="3"/>
      <c r="Q27" s="3"/>
      <c r="R27" s="3"/>
      <c r="S27" s="3"/>
      <c r="T27" s="6"/>
      <c r="U27" s="6"/>
      <c r="V27" s="12"/>
      <c r="W27" s="12"/>
      <c r="X27" s="3"/>
      <c r="Y27" s="3"/>
      <c r="Z27" s="3">
        <v>1</v>
      </c>
      <c r="AA27" s="6"/>
      <c r="AB27" s="6"/>
      <c r="AC27" s="3">
        <v>4</v>
      </c>
      <c r="AD27" s="3">
        <v>4</v>
      </c>
      <c r="AE27" s="3">
        <v>2</v>
      </c>
      <c r="AF27" s="3">
        <v>4.5</v>
      </c>
      <c r="AG27" s="3">
        <v>1.5</v>
      </c>
      <c r="AH27" s="3">
        <f t="shared" si="0"/>
        <v>17</v>
      </c>
      <c r="AI27" s="16">
        <f t="shared" si="1"/>
        <v>9.6590909090909088E-2</v>
      </c>
    </row>
    <row r="28" spans="1:35" ht="19.8" x14ac:dyDescent="0.4">
      <c r="A28" s="15" t="s">
        <v>48</v>
      </c>
      <c r="B28" s="15" t="s">
        <v>44</v>
      </c>
      <c r="C28" s="3">
        <v>0.5</v>
      </c>
      <c r="D28" s="3">
        <v>1</v>
      </c>
      <c r="E28" s="3">
        <v>0</v>
      </c>
      <c r="F28" s="6"/>
      <c r="G28" s="6"/>
      <c r="H28" s="3">
        <v>1</v>
      </c>
      <c r="I28" s="3">
        <v>0</v>
      </c>
      <c r="J28" s="3">
        <v>0.5</v>
      </c>
      <c r="K28" s="3">
        <v>0</v>
      </c>
      <c r="L28" s="9"/>
      <c r="M28" s="6"/>
      <c r="N28" s="6"/>
      <c r="O28" s="3">
        <v>1</v>
      </c>
      <c r="P28" s="3">
        <v>0</v>
      </c>
      <c r="Q28" s="3">
        <v>0</v>
      </c>
      <c r="R28" s="3">
        <v>1</v>
      </c>
      <c r="S28" s="3">
        <v>0</v>
      </c>
      <c r="T28" s="6"/>
      <c r="U28" s="6"/>
      <c r="V28" s="12"/>
      <c r="W28" s="12"/>
      <c r="X28" s="3">
        <v>0</v>
      </c>
      <c r="Y28" s="3">
        <v>0</v>
      </c>
      <c r="Z28" s="3">
        <v>1</v>
      </c>
      <c r="AA28" s="6"/>
      <c r="AB28" s="6"/>
      <c r="AC28" s="3">
        <v>0</v>
      </c>
      <c r="AD28" s="3">
        <v>1</v>
      </c>
      <c r="AE28" s="3">
        <v>0</v>
      </c>
      <c r="AF28" s="3">
        <v>1</v>
      </c>
      <c r="AG28" s="3">
        <v>1</v>
      </c>
      <c r="AH28" s="3">
        <f t="shared" si="0"/>
        <v>9</v>
      </c>
      <c r="AI28" s="16">
        <f t="shared" si="1"/>
        <v>5.113636363636364E-2</v>
      </c>
    </row>
    <row r="29" spans="1:35" ht="19.8" x14ac:dyDescent="0.4">
      <c r="A29" s="15" t="s">
        <v>49</v>
      </c>
      <c r="B29" s="15" t="s">
        <v>44</v>
      </c>
      <c r="C29" s="3">
        <v>0</v>
      </c>
      <c r="D29" s="3">
        <v>1</v>
      </c>
      <c r="E29" s="3">
        <v>0.5</v>
      </c>
      <c r="F29" s="6"/>
      <c r="G29" s="6"/>
      <c r="H29" s="3">
        <v>0</v>
      </c>
      <c r="I29" s="3">
        <v>0</v>
      </c>
      <c r="J29" s="3">
        <v>1</v>
      </c>
      <c r="K29" s="3">
        <v>1</v>
      </c>
      <c r="L29" s="9"/>
      <c r="M29" s="6"/>
      <c r="N29" s="6"/>
      <c r="O29" s="3">
        <v>0</v>
      </c>
      <c r="P29" s="3">
        <v>1</v>
      </c>
      <c r="Q29" s="3">
        <v>0</v>
      </c>
      <c r="R29" s="3">
        <v>0.5</v>
      </c>
      <c r="S29" s="3">
        <v>1</v>
      </c>
      <c r="T29" s="6"/>
      <c r="U29" s="6"/>
      <c r="V29" s="12"/>
      <c r="W29" s="12"/>
      <c r="X29" s="3">
        <v>0</v>
      </c>
      <c r="Y29" s="3">
        <v>1</v>
      </c>
      <c r="Z29" s="3">
        <v>0</v>
      </c>
      <c r="AA29" s="6"/>
      <c r="AB29" s="6"/>
      <c r="AC29" s="3">
        <v>1</v>
      </c>
      <c r="AD29" s="3">
        <v>0</v>
      </c>
      <c r="AE29" s="3">
        <v>1</v>
      </c>
      <c r="AF29" s="3">
        <v>0</v>
      </c>
      <c r="AG29" s="3">
        <v>0</v>
      </c>
      <c r="AH29" s="3">
        <f t="shared" si="0"/>
        <v>9</v>
      </c>
      <c r="AI29" s="16">
        <f t="shared" si="1"/>
        <v>5.113636363636364E-2</v>
      </c>
    </row>
    <row r="30" spans="1:35" ht="19.8" x14ac:dyDescent="0.4">
      <c r="A30" s="15" t="s">
        <v>50</v>
      </c>
      <c r="B30" s="15" t="s">
        <v>51</v>
      </c>
      <c r="C30" s="3"/>
      <c r="D30" s="3"/>
      <c r="E30" s="3"/>
      <c r="F30" s="6"/>
      <c r="G30" s="6"/>
      <c r="H30" s="3"/>
      <c r="I30" s="3"/>
      <c r="J30" s="3"/>
      <c r="K30" s="3"/>
      <c r="L30" s="9"/>
      <c r="M30" s="6"/>
      <c r="N30" s="6"/>
      <c r="O30" s="3"/>
      <c r="P30" s="3"/>
      <c r="Q30" s="3">
        <v>5</v>
      </c>
      <c r="R30" s="3"/>
      <c r="S30" s="3"/>
      <c r="T30" s="6"/>
      <c r="U30" s="6"/>
      <c r="V30" s="12">
        <v>8</v>
      </c>
      <c r="W30" s="12">
        <v>8</v>
      </c>
      <c r="X30" s="3"/>
      <c r="Y30" s="3">
        <v>2</v>
      </c>
      <c r="Z30" s="3"/>
      <c r="AA30" s="6"/>
      <c r="AB30" s="6"/>
      <c r="AC30" s="3"/>
      <c r="AD30" s="3"/>
      <c r="AE30" s="3"/>
      <c r="AF30" s="3"/>
      <c r="AG30" s="3">
        <v>3.5</v>
      </c>
      <c r="AH30" s="3">
        <f t="shared" si="0"/>
        <v>26.5</v>
      </c>
      <c r="AI30" s="16">
        <f t="shared" si="1"/>
        <v>0.15056818181818182</v>
      </c>
    </row>
    <row r="31" spans="1:35" ht="19.8" x14ac:dyDescent="0.4">
      <c r="A31" s="38" t="s">
        <v>52</v>
      </c>
      <c r="B31" s="39"/>
      <c r="C31" s="4">
        <f>SUM(C23:C30)</f>
        <v>8</v>
      </c>
      <c r="D31" s="4">
        <f>SUM(D23:D30)</f>
        <v>8</v>
      </c>
      <c r="E31" s="4">
        <f>SUM(E23:E30)</f>
        <v>8</v>
      </c>
      <c r="F31" s="7"/>
      <c r="G31" s="7"/>
      <c r="H31" s="4">
        <f>SUM(H23:H30)</f>
        <v>8</v>
      </c>
      <c r="I31" s="4">
        <f>SUM(I23:I30)</f>
        <v>8</v>
      </c>
      <c r="J31" s="4">
        <f>SUM(J23:J30)</f>
        <v>8</v>
      </c>
      <c r="K31" s="4">
        <f>SUM(K23:K30)</f>
        <v>8</v>
      </c>
      <c r="L31" s="10"/>
      <c r="M31" s="7"/>
      <c r="N31" s="7"/>
      <c r="O31" s="4">
        <f>SUM(O23:O30)</f>
        <v>8</v>
      </c>
      <c r="P31" s="4">
        <f>SUM(P23:P30)</f>
        <v>8</v>
      </c>
      <c r="Q31" s="4">
        <f>SUM(Q23:Q30)</f>
        <v>8</v>
      </c>
      <c r="R31" s="4">
        <f>SUM(R23:R30)</f>
        <v>8</v>
      </c>
      <c r="S31" s="4">
        <f>SUM(S23:S30)</f>
        <v>8</v>
      </c>
      <c r="T31" s="7"/>
      <c r="U31" s="7"/>
      <c r="V31" s="13">
        <f>SUM(V23:V30)</f>
        <v>8</v>
      </c>
      <c r="W31" s="13">
        <f>SUM(W23:W30)</f>
        <v>8</v>
      </c>
      <c r="X31" s="4">
        <f>SUM(X23:X30)</f>
        <v>8</v>
      </c>
      <c r="Y31" s="4">
        <f>SUM(Y23:Y30)</f>
        <v>8</v>
      </c>
      <c r="Z31" s="4">
        <f>SUM(Z23:Z30)</f>
        <v>8</v>
      </c>
      <c r="AA31" s="7"/>
      <c r="AB31" s="7"/>
      <c r="AC31" s="4">
        <f t="shared" ref="AC31:AH31" si="2">SUM(AC23:AC30)</f>
        <v>8</v>
      </c>
      <c r="AD31" s="4">
        <f t="shared" si="2"/>
        <v>8</v>
      </c>
      <c r="AE31" s="4">
        <f t="shared" si="2"/>
        <v>8</v>
      </c>
      <c r="AF31" s="4">
        <f t="shared" si="2"/>
        <v>8</v>
      </c>
      <c r="AG31" s="4">
        <f t="shared" si="2"/>
        <v>8</v>
      </c>
      <c r="AH31" s="4">
        <f t="shared" si="2"/>
        <v>176</v>
      </c>
      <c r="AI31" s="14">
        <f t="shared" si="1"/>
        <v>1</v>
      </c>
    </row>
    <row r="32" spans="1:35" ht="19.8" x14ac:dyDescent="0.4">
      <c r="A32" s="40" t="s">
        <v>53</v>
      </c>
      <c r="B32" s="40"/>
      <c r="C32" s="3">
        <f>8-C31</f>
        <v>0</v>
      </c>
      <c r="D32" s="3">
        <f>8-D31</f>
        <v>0</v>
      </c>
      <c r="E32" s="3">
        <f>8-E31</f>
        <v>0</v>
      </c>
      <c r="F32" s="6"/>
      <c r="G32" s="6"/>
      <c r="H32" s="3">
        <f>8-H31</f>
        <v>0</v>
      </c>
      <c r="I32" s="3">
        <f>8-I31</f>
        <v>0</v>
      </c>
      <c r="J32" s="3">
        <f>8-J31</f>
        <v>0</v>
      </c>
      <c r="K32" s="3">
        <f>8-K31</f>
        <v>0</v>
      </c>
      <c r="L32" s="9"/>
      <c r="M32" s="6"/>
      <c r="N32" s="6"/>
      <c r="O32" s="3">
        <f>8-O31</f>
        <v>0</v>
      </c>
      <c r="P32" s="3">
        <f>8-P31</f>
        <v>0</v>
      </c>
      <c r="Q32" s="3">
        <f>8-Q31</f>
        <v>0</v>
      </c>
      <c r="R32" s="3">
        <f>8-R31</f>
        <v>0</v>
      </c>
      <c r="S32" s="3">
        <f>8-S31</f>
        <v>0</v>
      </c>
      <c r="T32" s="6"/>
      <c r="U32" s="6"/>
      <c r="V32" s="12">
        <f>8-V31</f>
        <v>0</v>
      </c>
      <c r="W32" s="12">
        <f>8-W31</f>
        <v>0</v>
      </c>
      <c r="X32" s="3">
        <f>8-X31</f>
        <v>0</v>
      </c>
      <c r="Y32" s="3">
        <f>8-Y31</f>
        <v>0</v>
      </c>
      <c r="Z32" s="3">
        <f>8-Z31</f>
        <v>0</v>
      </c>
      <c r="AA32" s="6"/>
      <c r="AB32" s="6"/>
      <c r="AC32" s="3">
        <f>8-AC31</f>
        <v>0</v>
      </c>
      <c r="AD32" s="3">
        <f>8-AD31</f>
        <v>0</v>
      </c>
      <c r="AE32" s="3">
        <f>8-AE31</f>
        <v>0</v>
      </c>
      <c r="AF32" s="3">
        <f>8-AF31</f>
        <v>0</v>
      </c>
      <c r="AG32" s="3">
        <f>8-AG31</f>
        <v>0</v>
      </c>
      <c r="AH32" s="3">
        <f t="shared" ref="AH32:AH38" si="3">SUM(C32:AG32)</f>
        <v>0</v>
      </c>
    </row>
    <row r="33" spans="1:34" ht="19.8" x14ac:dyDescent="0.4">
      <c r="A33" s="40"/>
      <c r="B33" s="40"/>
      <c r="C33" s="3"/>
      <c r="D33" s="3"/>
      <c r="E33" s="3"/>
      <c r="F33" s="6"/>
      <c r="G33" s="6"/>
      <c r="H33" s="3"/>
      <c r="I33" s="3"/>
      <c r="J33" s="3"/>
      <c r="K33" s="3"/>
      <c r="L33" s="9"/>
      <c r="M33" s="6"/>
      <c r="N33" s="6"/>
      <c r="O33" s="3"/>
      <c r="P33" s="3"/>
      <c r="Q33" s="3"/>
      <c r="R33" s="3"/>
      <c r="S33" s="3"/>
      <c r="T33" s="6"/>
      <c r="U33" s="6"/>
      <c r="V33" s="12"/>
      <c r="W33" s="12"/>
      <c r="X33" s="3"/>
      <c r="Y33" s="3"/>
      <c r="Z33" s="3"/>
      <c r="AA33" s="6"/>
      <c r="AB33" s="6"/>
      <c r="AC33" s="3"/>
      <c r="AD33" s="3"/>
      <c r="AE33" s="3"/>
      <c r="AF33" s="3"/>
      <c r="AG33" s="3"/>
      <c r="AH33" s="3">
        <f t="shared" si="3"/>
        <v>0</v>
      </c>
    </row>
    <row r="34" spans="1:34" ht="19.8" x14ac:dyDescent="0.4">
      <c r="A34" s="40"/>
      <c r="B34" s="40"/>
      <c r="C34" s="3"/>
      <c r="D34" s="3"/>
      <c r="E34" s="3"/>
      <c r="F34" s="6"/>
      <c r="G34" s="6"/>
      <c r="H34" s="3"/>
      <c r="I34" s="3"/>
      <c r="J34" s="3"/>
      <c r="K34" s="3"/>
      <c r="L34" s="9"/>
      <c r="M34" s="6"/>
      <c r="N34" s="6"/>
      <c r="O34" s="3"/>
      <c r="P34" s="3"/>
      <c r="Q34" s="3"/>
      <c r="R34" s="3"/>
      <c r="S34" s="3"/>
      <c r="T34" s="6"/>
      <c r="U34" s="6"/>
      <c r="V34" s="12"/>
      <c r="W34" s="12"/>
      <c r="X34" s="3"/>
      <c r="Y34" s="3"/>
      <c r="Z34" s="3"/>
      <c r="AA34" s="6"/>
      <c r="AB34" s="6"/>
      <c r="AC34" s="3"/>
      <c r="AD34" s="3"/>
      <c r="AE34" s="3"/>
      <c r="AF34" s="3"/>
      <c r="AG34" s="3"/>
      <c r="AH34" s="3">
        <f t="shared" si="3"/>
        <v>0</v>
      </c>
    </row>
    <row r="35" spans="1:34" ht="19.8" x14ac:dyDescent="0.4">
      <c r="A35" s="40"/>
      <c r="B35" s="40"/>
      <c r="C35" s="3"/>
      <c r="D35" s="3"/>
      <c r="E35" s="3"/>
      <c r="F35" s="6"/>
      <c r="G35" s="6"/>
      <c r="H35" s="3"/>
      <c r="I35" s="3"/>
      <c r="J35" s="3"/>
      <c r="K35" s="3"/>
      <c r="L35" s="9"/>
      <c r="M35" s="6"/>
      <c r="N35" s="6"/>
      <c r="O35" s="3"/>
      <c r="P35" s="3"/>
      <c r="Q35" s="3"/>
      <c r="R35" s="3"/>
      <c r="S35" s="3"/>
      <c r="T35" s="6"/>
      <c r="U35" s="6"/>
      <c r="V35" s="12"/>
      <c r="W35" s="12"/>
      <c r="X35" s="3"/>
      <c r="Y35" s="3"/>
      <c r="Z35" s="3"/>
      <c r="AA35" s="6"/>
      <c r="AB35" s="6"/>
      <c r="AC35" s="3"/>
      <c r="AD35" s="3"/>
      <c r="AE35" s="3"/>
      <c r="AF35" s="3"/>
      <c r="AG35" s="3"/>
      <c r="AH35" s="3">
        <f t="shared" si="3"/>
        <v>0</v>
      </c>
    </row>
    <row r="36" spans="1:34" ht="19.8" x14ac:dyDescent="0.4">
      <c r="A36" s="40" t="s">
        <v>54</v>
      </c>
      <c r="B36" s="40"/>
      <c r="C36" s="3"/>
      <c r="D36" s="3"/>
      <c r="E36" s="3"/>
      <c r="F36" s="6"/>
      <c r="G36" s="6"/>
      <c r="H36" s="3"/>
      <c r="I36" s="3"/>
      <c r="J36" s="3"/>
      <c r="K36" s="3"/>
      <c r="L36" s="9"/>
      <c r="M36" s="6"/>
      <c r="N36" s="6"/>
      <c r="O36" s="3"/>
      <c r="P36" s="3"/>
      <c r="Q36" s="3"/>
      <c r="R36" s="3"/>
      <c r="S36" s="3"/>
      <c r="T36" s="6"/>
      <c r="U36" s="6"/>
      <c r="V36" s="12"/>
      <c r="W36" s="12"/>
      <c r="X36" s="3"/>
      <c r="Y36" s="3"/>
      <c r="Z36" s="3"/>
      <c r="AA36" s="6"/>
      <c r="AB36" s="6"/>
      <c r="AC36" s="3"/>
      <c r="AD36" s="3"/>
      <c r="AE36" s="3"/>
      <c r="AF36" s="3"/>
      <c r="AG36" s="3"/>
      <c r="AH36" s="3">
        <f t="shared" si="3"/>
        <v>0</v>
      </c>
    </row>
    <row r="37" spans="1:34" ht="19.8" x14ac:dyDescent="0.4">
      <c r="A37" s="40" t="s">
        <v>55</v>
      </c>
      <c r="B37" s="40"/>
      <c r="C37" s="3"/>
      <c r="D37" s="3"/>
      <c r="E37" s="3"/>
      <c r="F37" s="6"/>
      <c r="G37" s="6"/>
      <c r="H37" s="3"/>
      <c r="I37" s="3"/>
      <c r="J37" s="3"/>
      <c r="K37" s="3"/>
      <c r="L37" s="9"/>
      <c r="M37" s="6"/>
      <c r="N37" s="6"/>
      <c r="O37" s="3"/>
      <c r="P37" s="3"/>
      <c r="Q37" s="3"/>
      <c r="R37" s="3"/>
      <c r="S37" s="3"/>
      <c r="T37" s="6"/>
      <c r="U37" s="6"/>
      <c r="V37" s="12"/>
      <c r="W37" s="12"/>
      <c r="X37" s="3"/>
      <c r="Y37" s="3"/>
      <c r="Z37" s="3"/>
      <c r="AA37" s="6"/>
      <c r="AB37" s="6"/>
      <c r="AC37" s="3"/>
      <c r="AD37" s="3"/>
      <c r="AE37" s="3"/>
      <c r="AF37" s="3"/>
      <c r="AG37" s="3"/>
      <c r="AH37" s="3">
        <f t="shared" si="3"/>
        <v>0</v>
      </c>
    </row>
    <row r="38" spans="1:34" ht="19.8" x14ac:dyDescent="0.4">
      <c r="A38" s="40" t="s">
        <v>56</v>
      </c>
      <c r="B38" s="40"/>
      <c r="C38" s="3"/>
      <c r="D38" s="3"/>
      <c r="E38" s="3"/>
      <c r="F38" s="6"/>
      <c r="G38" s="6"/>
      <c r="H38" s="3"/>
      <c r="I38" s="3"/>
      <c r="J38" s="3"/>
      <c r="K38" s="3"/>
      <c r="L38" s="9"/>
      <c r="M38" s="6"/>
      <c r="N38" s="6"/>
      <c r="O38" s="3"/>
      <c r="P38" s="3"/>
      <c r="Q38" s="3"/>
      <c r="R38" s="3"/>
      <c r="S38" s="3"/>
      <c r="T38" s="6"/>
      <c r="U38" s="6"/>
      <c r="V38" s="12"/>
      <c r="W38" s="12"/>
      <c r="X38" s="3"/>
      <c r="Y38" s="3"/>
      <c r="Z38" s="3"/>
      <c r="AA38" s="6"/>
      <c r="AB38" s="6"/>
      <c r="AC38" s="3"/>
      <c r="AD38" s="3"/>
      <c r="AE38" s="3"/>
      <c r="AF38" s="3"/>
      <c r="AG38" s="3"/>
      <c r="AH38" s="3">
        <f t="shared" si="3"/>
        <v>0</v>
      </c>
    </row>
    <row r="39" spans="1:34" ht="19.8" x14ac:dyDescent="0.4">
      <c r="A39" s="15" t="s">
        <v>57</v>
      </c>
      <c r="B39" s="15"/>
      <c r="C39" s="4">
        <f>SUM(C31:C35)</f>
        <v>8</v>
      </c>
      <c r="D39" s="4">
        <f>SUM(D31:D35)</f>
        <v>8</v>
      </c>
      <c r="E39" s="4">
        <f>SUM(E31:E35)</f>
        <v>8</v>
      </c>
      <c r="F39" s="7"/>
      <c r="G39" s="7"/>
      <c r="H39" s="4">
        <f>SUM(H31:H35)</f>
        <v>8</v>
      </c>
      <c r="I39" s="4">
        <f>SUM(I31:I35)</f>
        <v>8</v>
      </c>
      <c r="J39" s="4">
        <f>SUM(J31:J35)</f>
        <v>8</v>
      </c>
      <c r="K39" s="4">
        <f>SUM(K31:K35)</f>
        <v>8</v>
      </c>
      <c r="L39" s="10"/>
      <c r="M39" s="7"/>
      <c r="N39" s="7"/>
      <c r="O39" s="4">
        <f>SUM(O31:O35)</f>
        <v>8</v>
      </c>
      <c r="P39" s="4">
        <f>SUM(P31:P35)</f>
        <v>8</v>
      </c>
      <c r="Q39" s="4">
        <f>SUM(Q31:Q35)</f>
        <v>8</v>
      </c>
      <c r="R39" s="4">
        <f>SUM(R31:R35)</f>
        <v>8</v>
      </c>
      <c r="S39" s="4">
        <f>SUM(S31:S35)</f>
        <v>8</v>
      </c>
      <c r="T39" s="7"/>
      <c r="U39" s="7"/>
      <c r="V39" s="13">
        <f>SUM(V31:V35)</f>
        <v>8</v>
      </c>
      <c r="W39" s="13">
        <f>SUM(W31:W35)</f>
        <v>8</v>
      </c>
      <c r="X39" s="4">
        <f>SUM(X31:X35)</f>
        <v>8</v>
      </c>
      <c r="Y39" s="4">
        <f>SUM(Y31:Y35)</f>
        <v>8</v>
      </c>
      <c r="Z39" s="4">
        <f>SUM(Z31:Z35)</f>
        <v>8</v>
      </c>
      <c r="AA39" s="7"/>
      <c r="AB39" s="7"/>
      <c r="AC39" s="4">
        <f t="shared" ref="AC39:AH39" si="4">SUM(AC31:AC35)</f>
        <v>8</v>
      </c>
      <c r="AD39" s="4">
        <f t="shared" si="4"/>
        <v>8</v>
      </c>
      <c r="AE39" s="4">
        <f t="shared" si="4"/>
        <v>8</v>
      </c>
      <c r="AF39" s="4">
        <f t="shared" si="4"/>
        <v>8</v>
      </c>
      <c r="AG39" s="4">
        <f t="shared" si="4"/>
        <v>8</v>
      </c>
      <c r="AH39" s="4">
        <f t="shared" si="4"/>
        <v>176</v>
      </c>
    </row>
    <row r="40" spans="1:34" ht="19.8" x14ac:dyDescent="0.4">
      <c r="A40" s="15" t="s">
        <v>58</v>
      </c>
      <c r="B40" s="15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2">
        <f>SUM(AH36:AH39)</f>
        <v>176</v>
      </c>
    </row>
    <row r="43" spans="1:34" x14ac:dyDescent="0.3">
      <c r="A43" s="34" t="s">
        <v>59</v>
      </c>
      <c r="B43" s="34" t="s">
        <v>60</v>
      </c>
      <c r="W43" s="44" t="s">
        <v>62</v>
      </c>
      <c r="X43" s="45"/>
      <c r="Y43" s="45"/>
      <c r="Z43" s="45"/>
      <c r="AA43" s="46"/>
      <c r="AB43" s="44" t="s">
        <v>9</v>
      </c>
      <c r="AC43" s="45"/>
      <c r="AD43" s="45"/>
      <c r="AE43" s="46"/>
    </row>
    <row r="44" spans="1:34" x14ac:dyDescent="0.3">
      <c r="A44" s="43"/>
      <c r="B44" s="43"/>
      <c r="W44" s="47"/>
      <c r="X44" s="48"/>
      <c r="Y44" s="48"/>
      <c r="Z44" s="48"/>
      <c r="AA44" s="49"/>
      <c r="AB44" s="47"/>
      <c r="AC44" s="48"/>
      <c r="AD44" s="48"/>
      <c r="AE44" s="49"/>
    </row>
    <row r="45" spans="1:34" ht="19.8" x14ac:dyDescent="0.3">
      <c r="A45" s="35"/>
      <c r="B45" s="17" t="s">
        <v>61</v>
      </c>
      <c r="W45" s="50"/>
      <c r="X45" s="51"/>
      <c r="Y45" s="51"/>
      <c r="Z45" s="51"/>
      <c r="AA45" s="52"/>
      <c r="AB45" s="53" t="s">
        <v>63</v>
      </c>
      <c r="AC45" s="51"/>
      <c r="AD45" s="51"/>
      <c r="AE45" s="52"/>
    </row>
    <row r="47" spans="1:34" ht="19.8" x14ac:dyDescent="0.3">
      <c r="A47" s="41" t="s">
        <v>64</v>
      </c>
      <c r="B47" s="42"/>
    </row>
    <row r="48" spans="1:34" ht="19.8" x14ac:dyDescent="0.4">
      <c r="A48" s="2" t="s">
        <v>65</v>
      </c>
      <c r="B48" s="2" t="s">
        <v>66</v>
      </c>
      <c r="C48" s="2" t="s">
        <v>67</v>
      </c>
      <c r="D48" s="2" t="s">
        <v>68</v>
      </c>
      <c r="E48" s="2" t="s">
        <v>69</v>
      </c>
    </row>
    <row r="49" spans="1:5" x14ac:dyDescent="0.3">
      <c r="A49" t="s">
        <v>70</v>
      </c>
      <c r="B49" t="s">
        <v>73</v>
      </c>
      <c r="C49">
        <v>100</v>
      </c>
      <c r="D49" t="s">
        <v>71</v>
      </c>
      <c r="E49" t="s">
        <v>72</v>
      </c>
    </row>
  </sheetData>
  <mergeCells count="71">
    <mergeCell ref="A47:B47"/>
    <mergeCell ref="C40:AG40"/>
    <mergeCell ref="A43:A45"/>
    <mergeCell ref="B43:B44"/>
    <mergeCell ref="W43:AA45"/>
    <mergeCell ref="AB43:AE44"/>
    <mergeCell ref="AB45:AE45"/>
    <mergeCell ref="A34:B34"/>
    <mergeCell ref="A35:B35"/>
    <mergeCell ref="A36:B36"/>
    <mergeCell ref="A37:B37"/>
    <mergeCell ref="A38:B38"/>
    <mergeCell ref="A21:B21"/>
    <mergeCell ref="A22:B22"/>
    <mergeCell ref="A31:B31"/>
    <mergeCell ref="A32:B32"/>
    <mergeCell ref="A33:B33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2024-02-11T18:39:07Z</dcterms:created>
  <dcterms:modified xsi:type="dcterms:W3CDTF">2024-04-24T14:39:30Z</dcterms:modified>
  <cp:category/>
</cp:coreProperties>
</file>