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AI-SPRINT\01.Financial Reports\AI-SPRINT RP2\TIMESHEETS\DANIELE LEZZI\"/>
    </mc:Choice>
  </mc:AlternateContent>
  <xr:revisionPtr revIDLastSave="0" documentId="13_ncr:1_{28A8FE45-420E-4CC7-9607-A2F1C0143BF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F28" i="1"/>
  <c r="AE28" i="1"/>
  <c r="AD28" i="1"/>
  <c r="AD29" i="1" s="1"/>
  <c r="AC28" i="1"/>
  <c r="AC29" i="1" s="1"/>
  <c r="AB28" i="1"/>
  <c r="AB29" i="1" s="1"/>
  <c r="Y28" i="1"/>
  <c r="Y29" i="1" s="1"/>
  <c r="Y36" i="1" s="1"/>
  <c r="X28" i="1"/>
  <c r="W28" i="1"/>
  <c r="V28" i="1"/>
  <c r="U28" i="1"/>
  <c r="R28" i="1"/>
  <c r="R29" i="1" s="1"/>
  <c r="Q28" i="1"/>
  <c r="Q29" i="1" s="1"/>
  <c r="P28" i="1"/>
  <c r="P29" i="1" s="1"/>
  <c r="O28" i="1"/>
  <c r="O29" i="1" s="1"/>
  <c r="O36" i="1" s="1"/>
  <c r="N28" i="1"/>
  <c r="K28" i="1"/>
  <c r="J28" i="1"/>
  <c r="I28" i="1"/>
  <c r="H28" i="1"/>
  <c r="H29" i="1" s="1"/>
  <c r="C28" i="1"/>
  <c r="C29" i="1" s="1"/>
  <c r="AG27" i="1"/>
  <c r="AG26" i="1"/>
  <c r="AG25" i="1"/>
  <c r="AG24" i="1"/>
  <c r="AG23" i="1"/>
  <c r="AG28" i="1" l="1"/>
  <c r="P16" i="1" s="1"/>
  <c r="X16" i="1" s="1"/>
  <c r="H36" i="1"/>
  <c r="R36" i="1"/>
  <c r="AD36" i="1"/>
  <c r="I29" i="1"/>
  <c r="I36" i="1" s="1"/>
  <c r="U29" i="1"/>
  <c r="U36" i="1" s="1"/>
  <c r="AE29" i="1"/>
  <c r="AE36" i="1" s="1"/>
  <c r="P36" i="1"/>
  <c r="AB36" i="1"/>
  <c r="J29" i="1"/>
  <c r="J36" i="1" s="1"/>
  <c r="V29" i="1"/>
  <c r="AF29" i="1"/>
  <c r="AF36" i="1" s="1"/>
  <c r="C36" i="1"/>
  <c r="Q36" i="1"/>
  <c r="AC36" i="1"/>
  <c r="K29" i="1"/>
  <c r="K36" i="1" s="1"/>
  <c r="W29" i="1"/>
  <c r="W36" i="1" s="1"/>
  <c r="N29" i="1"/>
  <c r="N36" i="1" s="1"/>
  <c r="X29" i="1"/>
  <c r="X36" i="1" s="1"/>
  <c r="AG29" i="1" l="1"/>
  <c r="AG36" i="1" s="1"/>
  <c r="AG37" i="1" s="1"/>
  <c r="V36" i="1"/>
  <c r="H16" i="1" l="1"/>
  <c r="AH27" i="1"/>
  <c r="AH23" i="1"/>
  <c r="AH28" i="1"/>
  <c r="AH26" i="1"/>
  <c r="AH25" i="1"/>
  <c r="AH24" i="1"/>
</calcChain>
</file>

<file path=xl/sharedStrings.xml><?xml version="1.0" encoding="utf-8"?>
<sst xmlns="http://schemas.openxmlformats.org/spreadsheetml/2006/main" count="95" uniqueCount="70">
  <si>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</si>
  <si>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</si>
  <si>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</si>
  <si>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</si>
  <si>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</si>
  <si>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</si>
  <si>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</si>
  <si>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</si>
  <si>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</si>
  <si>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</si>
  <si>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</si>
  <si>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</si>
  <si>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</si>
  <si>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</si>
  <si>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</si>
  <si>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</si>
  <si>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</si>
  <si>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</si>
  <si>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</si>
  <si>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</si>
  <si>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</si>
  <si>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</si>
  <si>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</si>
  <si>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</si>
  <si>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</si>
  <si>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</si>
  <si>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</si>
  <si>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</si>
  <si>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</si>
  <si>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</si>
  <si>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</si>
  <si>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</si>
  <si>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</si>
  <si>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</si>
  <si>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</si>
  <si>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</si>
  <si>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</si>
  <si>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</si>
  <si>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</si>
  <si>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</si>
  <si>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WP2 Design time tools</t>
  </si>
  <si>
    <t>Dedicacion: 44% Estimated:69.473684210526 h</t>
  </si>
  <si>
    <t>PE092900 AI-SPRINT - WP3 Runtime environment</t>
  </si>
  <si>
    <t>Dedicacion: 25% Estimated:39.473684210526 h</t>
  </si>
  <si>
    <t>PE092900 AI-SPRINT - WP7 Project management</t>
  </si>
  <si>
    <t>Dedicacion: 5% Estimated:7.8947368421053 h</t>
  </si>
  <si>
    <t>PE104100 DT-GEO - WP2 Workflows and data architecture</t>
  </si>
  <si>
    <t>PE104100 DT-GEO - WP3 Computational infrastructure and AI</t>
  </si>
  <si>
    <t>Dedicacion: 16% Estimated:25.263157894737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</si>
  <si>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</si>
  <si>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</si>
  <si>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</si>
  <si>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</si>
  <si>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</si>
  <si>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</si>
  <si>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</si>
  <si>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</si>
  <si>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</si>
  <si>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2023-07-03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</si>
  <si>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</si>
  <si>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</si>
  <si>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</si>
  <si>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</si>
  <si>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</si>
  <si>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</si>
  <si>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</si>
  <si>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0828/23</t>
  </si>
  <si>
    <t>2023-06-14</t>
  </si>
  <si>
    <t>2023-06-16</t>
  </si>
  <si>
    <t>PE104100 DT-GEO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</si>
</sst>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6"/>
  <sheetViews>
    <sheetView tabSelected="1" zoomScale="90" zoomScaleNormal="90" workbookViewId="0">
      <selection activeCell="H23" sqref="H23:AF23"/>
    </sheetView>
  </sheetViews>
  <sheetFormatPr baseColWidth="10" defaultColWidth="8.7265625" defaultRowHeight="14.5" x14ac:dyDescent="0.35"/>
  <cols>
    <col min="1" max="2" width="40" customWidth="1"/>
    <col min="3" max="3" width="13.36328125" bestFit="1" customWidth="1"/>
    <col min="4" max="4" width="11.90625" bestFit="1" customWidth="1"/>
    <col min="5" max="5" width="10.6328125" bestFit="1" customWidth="1"/>
  </cols>
  <sheetData>
    <row r="2" spans="1:33" ht="19.5" x14ac:dyDescent="0.45">
      <c r="C2" s="23" t="s">
        <v>1</v>
      </c>
      <c r="D2" s="23"/>
      <c r="E2" s="23"/>
    </row>
    <row r="4" spans="1:33" ht="19.5" x14ac:dyDescent="0.45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3" ht="26" x14ac:dyDescent="0.6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8" spans="1:33" ht="19.5" x14ac:dyDescent="0.45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9.5" x14ac:dyDescent="0.45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9.5" x14ac:dyDescent="0.45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9.5" x14ac:dyDescent="0.45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9.5" x14ac:dyDescent="0.45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6" spans="1:33" ht="19.5" x14ac:dyDescent="0.45">
      <c r="F16" s="30" t="s">
        <v>17</v>
      </c>
      <c r="G16" s="22"/>
      <c r="H16" s="31">
        <f>AG36</f>
        <v>150</v>
      </c>
      <c r="I16" s="31"/>
      <c r="K16" s="30" t="s">
        <v>18</v>
      </c>
      <c r="L16" s="22"/>
      <c r="M16" s="22"/>
      <c r="N16" s="22"/>
      <c r="O16" s="22"/>
      <c r="P16" s="31">
        <f>AG28</f>
        <v>150</v>
      </c>
      <c r="Q16" s="31"/>
      <c r="S16" s="30" t="s">
        <v>19</v>
      </c>
      <c r="T16" s="22"/>
      <c r="U16" s="22"/>
      <c r="V16" s="22"/>
      <c r="W16" s="22"/>
      <c r="X16" s="31">
        <f>(P16/7.5) *1</f>
        <v>20</v>
      </c>
      <c r="Y16" s="31"/>
    </row>
    <row r="19" spans="1:34" ht="19.5" x14ac:dyDescent="0.45">
      <c r="C19" s="2" t="s">
        <v>20</v>
      </c>
      <c r="D19" s="5" t="s">
        <v>22</v>
      </c>
      <c r="E19" s="8" t="s">
        <v>24</v>
      </c>
      <c r="F19" s="8" t="s">
        <v>26</v>
      </c>
      <c r="G19" s="11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14" t="s">
        <v>32</v>
      </c>
      <c r="Q19" s="14" t="s">
        <v>20</v>
      </c>
      <c r="R19" s="14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11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7" t="s">
        <v>36</v>
      </c>
      <c r="AH19" s="38" t="s">
        <v>37</v>
      </c>
    </row>
    <row r="20" spans="1:34" ht="19.5" x14ac:dyDescent="0.45">
      <c r="C20" s="2" t="s">
        <v>21</v>
      </c>
      <c r="D20" s="5" t="s">
        <v>23</v>
      </c>
      <c r="E20" s="8" t="s">
        <v>25</v>
      </c>
      <c r="F20" s="8" t="s">
        <v>27</v>
      </c>
      <c r="G20" s="11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14">
        <v>14</v>
      </c>
      <c r="Q20" s="14">
        <v>15</v>
      </c>
      <c r="R20" s="14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11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37"/>
      <c r="AH20" s="39"/>
    </row>
    <row r="21" spans="1:34" ht="19.5" x14ac:dyDescent="0.45">
      <c r="A21" s="23" t="s">
        <v>38</v>
      </c>
      <c r="B21" s="23"/>
      <c r="C21" s="32"/>
      <c r="D21" s="33"/>
      <c r="E21" s="34"/>
      <c r="F21" s="34"/>
      <c r="G21" s="35"/>
      <c r="H21" s="32"/>
      <c r="I21" s="32"/>
      <c r="J21" s="32"/>
      <c r="K21" s="32"/>
      <c r="L21" s="34"/>
      <c r="M21" s="34"/>
      <c r="N21" s="32"/>
      <c r="O21" s="32"/>
      <c r="P21" s="36"/>
      <c r="Q21" s="36"/>
      <c r="R21" s="36"/>
      <c r="S21" s="34"/>
      <c r="T21" s="34"/>
      <c r="U21" s="32"/>
      <c r="V21" s="32"/>
      <c r="W21" s="32"/>
      <c r="X21" s="32"/>
      <c r="Y21" s="32"/>
      <c r="Z21" s="35"/>
      <c r="AA21" s="34"/>
      <c r="AB21" s="32"/>
      <c r="AC21" s="32"/>
      <c r="AD21" s="32"/>
      <c r="AE21" s="32"/>
      <c r="AF21" s="32"/>
      <c r="AG21" s="32"/>
      <c r="AH21" s="40"/>
    </row>
    <row r="22" spans="1:34" ht="19.5" x14ac:dyDescent="0.45">
      <c r="A22" s="41" t="s">
        <v>39</v>
      </c>
      <c r="B22" s="41"/>
      <c r="C22" s="32"/>
      <c r="D22" s="33"/>
      <c r="E22" s="34"/>
      <c r="F22" s="34"/>
      <c r="G22" s="35"/>
      <c r="H22" s="32"/>
      <c r="I22" s="32"/>
      <c r="J22" s="32"/>
      <c r="K22" s="32"/>
      <c r="L22" s="34"/>
      <c r="M22" s="34"/>
      <c r="N22" s="32"/>
      <c r="O22" s="32"/>
      <c r="P22" s="36"/>
      <c r="Q22" s="36"/>
      <c r="R22" s="36"/>
      <c r="S22" s="34"/>
      <c r="T22" s="34"/>
      <c r="U22" s="32"/>
      <c r="V22" s="32"/>
      <c r="W22" s="32"/>
      <c r="X22" s="32"/>
      <c r="Y22" s="32"/>
      <c r="Z22" s="35"/>
      <c r="AA22" s="34"/>
      <c r="AB22" s="32"/>
      <c r="AC22" s="32"/>
      <c r="AD22" s="32"/>
      <c r="AE22" s="32"/>
      <c r="AF22" s="32"/>
      <c r="AG22" s="32"/>
      <c r="AH22" s="40"/>
    </row>
    <row r="23" spans="1:34" ht="19.5" x14ac:dyDescent="0.45">
      <c r="A23" s="18" t="s">
        <v>40</v>
      </c>
      <c r="B23" s="18" t="s">
        <v>41</v>
      </c>
      <c r="C23" s="3">
        <v>2.5</v>
      </c>
      <c r="D23" s="6"/>
      <c r="E23" s="9"/>
      <c r="F23" s="9"/>
      <c r="G23" s="12"/>
      <c r="H23" s="3">
        <v>4.5</v>
      </c>
      <c r="I23" s="3">
        <v>2</v>
      </c>
      <c r="J23" s="3">
        <v>5.5</v>
      </c>
      <c r="K23" s="3">
        <v>4.5</v>
      </c>
      <c r="L23" s="9"/>
      <c r="M23" s="9"/>
      <c r="N23" s="3">
        <v>0</v>
      </c>
      <c r="O23" s="3">
        <v>2</v>
      </c>
      <c r="P23" s="15">
        <v>0</v>
      </c>
      <c r="Q23" s="15">
        <v>0</v>
      </c>
      <c r="R23" s="15">
        <v>0</v>
      </c>
      <c r="S23" s="9"/>
      <c r="T23" s="9"/>
      <c r="U23" s="3">
        <v>4.5</v>
      </c>
      <c r="V23" s="3">
        <v>4.5</v>
      </c>
      <c r="W23" s="3">
        <v>5</v>
      </c>
      <c r="X23" s="3">
        <v>5.5</v>
      </c>
      <c r="Y23" s="3">
        <v>3.5</v>
      </c>
      <c r="Z23" s="12"/>
      <c r="AA23" s="9"/>
      <c r="AB23" s="3">
        <v>3.5</v>
      </c>
      <c r="AC23" s="3">
        <v>7.5</v>
      </c>
      <c r="AD23" s="3">
        <v>5</v>
      </c>
      <c r="AE23" s="3">
        <v>5</v>
      </c>
      <c r="AF23" s="3">
        <v>6</v>
      </c>
      <c r="AG23" s="3">
        <f>SUM(C23:AF23)</f>
        <v>71</v>
      </c>
      <c r="AH23" s="19">
        <f t="shared" ref="AH23:AH28" si="0">AG23/$AG$37</f>
        <v>0.4507936507936508</v>
      </c>
    </row>
    <row r="24" spans="1:34" ht="19.5" x14ac:dyDescent="0.45">
      <c r="A24" s="18" t="s">
        <v>42</v>
      </c>
      <c r="B24" s="18" t="s">
        <v>43</v>
      </c>
      <c r="C24" s="3">
        <v>3</v>
      </c>
      <c r="D24" s="6"/>
      <c r="E24" s="9"/>
      <c r="F24" s="9"/>
      <c r="G24" s="12"/>
      <c r="H24" s="3">
        <v>3</v>
      </c>
      <c r="I24" s="3">
        <v>2.5</v>
      </c>
      <c r="J24" s="3">
        <v>2</v>
      </c>
      <c r="K24" s="3">
        <v>2</v>
      </c>
      <c r="L24" s="9"/>
      <c r="M24" s="9"/>
      <c r="N24" s="3">
        <v>3.5</v>
      </c>
      <c r="O24" s="3">
        <v>1.5</v>
      </c>
      <c r="P24" s="15"/>
      <c r="Q24" s="15"/>
      <c r="R24" s="15"/>
      <c r="S24" s="9"/>
      <c r="T24" s="9"/>
      <c r="U24" s="3">
        <v>3</v>
      </c>
      <c r="V24" s="3">
        <v>3</v>
      </c>
      <c r="W24" s="3">
        <v>2.5</v>
      </c>
      <c r="X24" s="3"/>
      <c r="Y24" s="3">
        <v>4</v>
      </c>
      <c r="Z24" s="12"/>
      <c r="AA24" s="9"/>
      <c r="AB24" s="3">
        <v>4</v>
      </c>
      <c r="AC24" s="3"/>
      <c r="AD24" s="3">
        <v>2.5</v>
      </c>
      <c r="AE24" s="3">
        <v>1.5</v>
      </c>
      <c r="AF24" s="3">
        <v>1.5</v>
      </c>
      <c r="AG24" s="3">
        <f>SUM(C24:AF24)</f>
        <v>39.5</v>
      </c>
      <c r="AH24" s="19">
        <f t="shared" si="0"/>
        <v>0.25079365079365079</v>
      </c>
    </row>
    <row r="25" spans="1:34" ht="19.5" x14ac:dyDescent="0.45">
      <c r="A25" s="18" t="s">
        <v>44</v>
      </c>
      <c r="B25" s="18" t="s">
        <v>45</v>
      </c>
      <c r="C25" s="3">
        <v>2</v>
      </c>
      <c r="D25" s="6"/>
      <c r="E25" s="9"/>
      <c r="F25" s="9"/>
      <c r="G25" s="12"/>
      <c r="H25" s="3"/>
      <c r="I25" s="3">
        <v>3</v>
      </c>
      <c r="J25" s="3"/>
      <c r="K25" s="3"/>
      <c r="L25" s="9"/>
      <c r="M25" s="9"/>
      <c r="N25" s="3">
        <v>1</v>
      </c>
      <c r="O25" s="3">
        <v>1</v>
      </c>
      <c r="P25" s="15"/>
      <c r="Q25" s="15"/>
      <c r="R25" s="15"/>
      <c r="S25" s="9"/>
      <c r="T25" s="9"/>
      <c r="U25" s="3"/>
      <c r="V25" s="3"/>
      <c r="W25" s="3"/>
      <c r="X25" s="3">
        <v>1</v>
      </c>
      <c r="Y25" s="3"/>
      <c r="Z25" s="12"/>
      <c r="AA25" s="9"/>
      <c r="AB25" s="3"/>
      <c r="AC25" s="3"/>
      <c r="AD25" s="3"/>
      <c r="AE25" s="3"/>
      <c r="AF25" s="3"/>
      <c r="AG25" s="3">
        <f>SUM(C25:AF25)</f>
        <v>8</v>
      </c>
      <c r="AH25" s="19">
        <f t="shared" si="0"/>
        <v>5.0793650793650794E-2</v>
      </c>
    </row>
    <row r="26" spans="1:34" ht="19.5" x14ac:dyDescent="0.45">
      <c r="A26" s="18" t="s">
        <v>46</v>
      </c>
      <c r="B26" s="18" t="s">
        <v>45</v>
      </c>
      <c r="C26" s="3"/>
      <c r="D26" s="6"/>
      <c r="E26" s="9"/>
      <c r="F26" s="9"/>
      <c r="G26" s="12"/>
      <c r="H26" s="3">
        <v>0</v>
      </c>
      <c r="I26" s="3">
        <v>0</v>
      </c>
      <c r="J26" s="3">
        <v>0</v>
      </c>
      <c r="K26" s="3">
        <v>1</v>
      </c>
      <c r="L26" s="9"/>
      <c r="M26" s="9"/>
      <c r="N26" s="3">
        <v>1</v>
      </c>
      <c r="O26" s="3">
        <v>1</v>
      </c>
      <c r="P26" s="15">
        <v>1</v>
      </c>
      <c r="Q26" s="15">
        <v>1</v>
      </c>
      <c r="R26" s="15">
        <v>1</v>
      </c>
      <c r="S26" s="9"/>
      <c r="T26" s="9"/>
      <c r="U26" s="3">
        <v>0</v>
      </c>
      <c r="V26" s="3">
        <v>0</v>
      </c>
      <c r="W26" s="3">
        <v>0</v>
      </c>
      <c r="X26" s="3">
        <v>1</v>
      </c>
      <c r="Y26" s="3">
        <v>0</v>
      </c>
      <c r="Z26" s="12"/>
      <c r="AA26" s="9"/>
      <c r="AB26" s="3">
        <v>0</v>
      </c>
      <c r="AC26" s="3">
        <v>0</v>
      </c>
      <c r="AD26" s="3">
        <v>0</v>
      </c>
      <c r="AE26" s="3">
        <v>1</v>
      </c>
      <c r="AF26" s="3">
        <v>0</v>
      </c>
      <c r="AG26" s="3">
        <f>SUM(C26:AF26)</f>
        <v>8</v>
      </c>
      <c r="AH26" s="19">
        <f t="shared" si="0"/>
        <v>5.0793650793650794E-2</v>
      </c>
    </row>
    <row r="27" spans="1:34" ht="19.5" x14ac:dyDescent="0.45">
      <c r="A27" s="18" t="s">
        <v>47</v>
      </c>
      <c r="B27" s="18" t="s">
        <v>48</v>
      </c>
      <c r="C27" s="3"/>
      <c r="D27" s="6"/>
      <c r="E27" s="9"/>
      <c r="F27" s="9"/>
      <c r="G27" s="12"/>
      <c r="H27" s="3">
        <v>0</v>
      </c>
      <c r="I27" s="3">
        <v>0</v>
      </c>
      <c r="J27" s="3">
        <v>0</v>
      </c>
      <c r="K27" s="3">
        <v>0</v>
      </c>
      <c r="L27" s="9"/>
      <c r="M27" s="9"/>
      <c r="N27" s="3">
        <v>2</v>
      </c>
      <c r="O27" s="3">
        <v>2</v>
      </c>
      <c r="P27" s="15">
        <v>6.5</v>
      </c>
      <c r="Q27" s="15">
        <v>6.5</v>
      </c>
      <c r="R27" s="15">
        <v>6.5</v>
      </c>
      <c r="S27" s="9"/>
      <c r="T27" s="9"/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12"/>
      <c r="AA27" s="9"/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f>SUM(C27:AF27)</f>
        <v>23.5</v>
      </c>
      <c r="AH27" s="19">
        <f t="shared" si="0"/>
        <v>0.1492063492063492</v>
      </c>
    </row>
    <row r="28" spans="1:34" ht="19.5" x14ac:dyDescent="0.45">
      <c r="A28" s="42" t="s">
        <v>49</v>
      </c>
      <c r="B28" s="43"/>
      <c r="C28" s="4">
        <f>SUM(C23:C27)</f>
        <v>7.5</v>
      </c>
      <c r="D28" s="7"/>
      <c r="E28" s="10"/>
      <c r="F28" s="10"/>
      <c r="G28" s="13"/>
      <c r="H28" s="4">
        <f>SUM(H23:H27)</f>
        <v>7.5</v>
      </c>
      <c r="I28" s="4">
        <f>SUM(I23:I27)</f>
        <v>7.5</v>
      </c>
      <c r="J28" s="4">
        <f>SUM(J23:J27)</f>
        <v>7.5</v>
      </c>
      <c r="K28" s="4">
        <f>SUM(K23:K27)</f>
        <v>7.5</v>
      </c>
      <c r="L28" s="10"/>
      <c r="M28" s="10"/>
      <c r="N28" s="4">
        <f>SUM(N23:N27)</f>
        <v>7.5</v>
      </c>
      <c r="O28" s="4">
        <f>SUM(O23:O27)</f>
        <v>7.5</v>
      </c>
      <c r="P28" s="16">
        <f>SUM(P23:P27)</f>
        <v>7.5</v>
      </c>
      <c r="Q28" s="16">
        <f>SUM(Q23:Q27)</f>
        <v>7.5</v>
      </c>
      <c r="R28" s="16">
        <f>SUM(R23:R27)</f>
        <v>7.5</v>
      </c>
      <c r="S28" s="10"/>
      <c r="T28" s="10"/>
      <c r="U28" s="4">
        <f>SUM(U23:U27)</f>
        <v>7.5</v>
      </c>
      <c r="V28" s="4">
        <f>SUM(V23:V27)</f>
        <v>7.5</v>
      </c>
      <c r="W28" s="4">
        <f>SUM(W23:W27)</f>
        <v>7.5</v>
      </c>
      <c r="X28" s="4">
        <f>SUM(X23:X27)</f>
        <v>7.5</v>
      </c>
      <c r="Y28" s="4">
        <f>SUM(Y23:Y27)</f>
        <v>7.5</v>
      </c>
      <c r="Z28" s="13"/>
      <c r="AA28" s="10"/>
      <c r="AB28" s="4">
        <f t="shared" ref="AB28:AG28" si="1">SUM(AB23:AB27)</f>
        <v>7.5</v>
      </c>
      <c r="AC28" s="4">
        <f t="shared" si="1"/>
        <v>7.5</v>
      </c>
      <c r="AD28" s="4">
        <f t="shared" si="1"/>
        <v>7.5</v>
      </c>
      <c r="AE28" s="4">
        <f t="shared" si="1"/>
        <v>7.5</v>
      </c>
      <c r="AF28" s="4">
        <f t="shared" si="1"/>
        <v>7.5</v>
      </c>
      <c r="AG28" s="4">
        <f t="shared" si="1"/>
        <v>150</v>
      </c>
      <c r="AH28" s="17">
        <f t="shared" si="0"/>
        <v>0.95238095238095233</v>
      </c>
    </row>
    <row r="29" spans="1:34" ht="19.5" x14ac:dyDescent="0.45">
      <c r="A29" s="44" t="s">
        <v>50</v>
      </c>
      <c r="B29" s="44"/>
      <c r="C29" s="3">
        <f>7.5-C28</f>
        <v>0</v>
      </c>
      <c r="D29" s="6"/>
      <c r="E29" s="9"/>
      <c r="F29" s="9"/>
      <c r="G29" s="12"/>
      <c r="H29" s="3">
        <f>7.5-H28</f>
        <v>0</v>
      </c>
      <c r="I29" s="3">
        <f>7.5-I28</f>
        <v>0</v>
      </c>
      <c r="J29" s="3">
        <f>7.5-J28</f>
        <v>0</v>
      </c>
      <c r="K29" s="3">
        <f>7.5-K28</f>
        <v>0</v>
      </c>
      <c r="L29" s="9"/>
      <c r="M29" s="9"/>
      <c r="N29" s="3">
        <f>7.5-N28</f>
        <v>0</v>
      </c>
      <c r="O29" s="3">
        <f>7.5-O28</f>
        <v>0</v>
      </c>
      <c r="P29" s="15">
        <f>7.5-P28</f>
        <v>0</v>
      </c>
      <c r="Q29" s="15">
        <f>7.5-Q28</f>
        <v>0</v>
      </c>
      <c r="R29" s="15">
        <f>7.5-R28</f>
        <v>0</v>
      </c>
      <c r="S29" s="9"/>
      <c r="T29" s="9"/>
      <c r="U29" s="3">
        <f>7.5-U28</f>
        <v>0</v>
      </c>
      <c r="V29" s="3">
        <f>7.5-V28</f>
        <v>0</v>
      </c>
      <c r="W29" s="3">
        <f>7.5-W28</f>
        <v>0</v>
      </c>
      <c r="X29" s="3">
        <f>7.5-X28</f>
        <v>0</v>
      </c>
      <c r="Y29" s="3">
        <f>7.5-Y28</f>
        <v>0</v>
      </c>
      <c r="Z29" s="12"/>
      <c r="AA29" s="9"/>
      <c r="AB29" s="3">
        <f>7.5-AB28</f>
        <v>0</v>
      </c>
      <c r="AC29" s="3">
        <f>7.5-AC28</f>
        <v>0</v>
      </c>
      <c r="AD29" s="3">
        <f>7.5-AD28</f>
        <v>0</v>
      </c>
      <c r="AE29" s="3">
        <f>7.5-AE28</f>
        <v>0</v>
      </c>
      <c r="AF29" s="3">
        <f>7.5-AF28</f>
        <v>0</v>
      </c>
      <c r="AG29" s="3">
        <f t="shared" ref="AG29:AG35" si="2">SUM(C29:AF29)</f>
        <v>0</v>
      </c>
    </row>
    <row r="30" spans="1:34" ht="19.5" x14ac:dyDescent="0.45">
      <c r="A30" s="44"/>
      <c r="B30" s="44"/>
      <c r="C30" s="3"/>
      <c r="D30" s="6"/>
      <c r="E30" s="9"/>
      <c r="F30" s="9"/>
      <c r="G30" s="12"/>
      <c r="H30" s="3"/>
      <c r="I30" s="3"/>
      <c r="J30" s="3"/>
      <c r="K30" s="3"/>
      <c r="L30" s="9"/>
      <c r="M30" s="9"/>
      <c r="N30" s="3"/>
      <c r="O30" s="3"/>
      <c r="P30" s="15"/>
      <c r="Q30" s="15"/>
      <c r="R30" s="15"/>
      <c r="S30" s="9"/>
      <c r="T30" s="9"/>
      <c r="U30" s="3"/>
      <c r="V30" s="3"/>
      <c r="W30" s="3"/>
      <c r="X30" s="3"/>
      <c r="Y30" s="3"/>
      <c r="Z30" s="12"/>
      <c r="AA30" s="9"/>
      <c r="AB30" s="3"/>
      <c r="AC30" s="3"/>
      <c r="AD30" s="3"/>
      <c r="AE30" s="3"/>
      <c r="AF30" s="3"/>
      <c r="AG30" s="3">
        <f t="shared" si="2"/>
        <v>0</v>
      </c>
    </row>
    <row r="31" spans="1:34" ht="19.5" x14ac:dyDescent="0.45">
      <c r="A31" s="44"/>
      <c r="B31" s="44"/>
      <c r="C31" s="3"/>
      <c r="D31" s="6"/>
      <c r="E31" s="9"/>
      <c r="F31" s="9"/>
      <c r="G31" s="12"/>
      <c r="H31" s="3"/>
      <c r="I31" s="3"/>
      <c r="J31" s="3"/>
      <c r="K31" s="3"/>
      <c r="L31" s="9"/>
      <c r="M31" s="9"/>
      <c r="N31" s="3"/>
      <c r="O31" s="3"/>
      <c r="P31" s="15"/>
      <c r="Q31" s="15"/>
      <c r="R31" s="15"/>
      <c r="S31" s="9"/>
      <c r="T31" s="9"/>
      <c r="U31" s="3"/>
      <c r="V31" s="3"/>
      <c r="W31" s="3"/>
      <c r="X31" s="3"/>
      <c r="Y31" s="3"/>
      <c r="Z31" s="12"/>
      <c r="AA31" s="9"/>
      <c r="AB31" s="3"/>
      <c r="AC31" s="3"/>
      <c r="AD31" s="3"/>
      <c r="AE31" s="3"/>
      <c r="AF31" s="3"/>
      <c r="AG31" s="3">
        <f t="shared" si="2"/>
        <v>0</v>
      </c>
    </row>
    <row r="32" spans="1:34" ht="19.5" x14ac:dyDescent="0.45">
      <c r="A32" s="44"/>
      <c r="B32" s="44"/>
      <c r="C32" s="3"/>
      <c r="D32" s="6"/>
      <c r="E32" s="9"/>
      <c r="F32" s="9"/>
      <c r="G32" s="12"/>
      <c r="H32" s="3"/>
      <c r="I32" s="3"/>
      <c r="J32" s="3"/>
      <c r="K32" s="3"/>
      <c r="L32" s="9"/>
      <c r="M32" s="9"/>
      <c r="N32" s="3"/>
      <c r="O32" s="3"/>
      <c r="P32" s="15"/>
      <c r="Q32" s="15"/>
      <c r="R32" s="15"/>
      <c r="S32" s="9"/>
      <c r="T32" s="9"/>
      <c r="U32" s="3"/>
      <c r="V32" s="3"/>
      <c r="W32" s="3"/>
      <c r="X32" s="3"/>
      <c r="Y32" s="3"/>
      <c r="Z32" s="12"/>
      <c r="AA32" s="9"/>
      <c r="AB32" s="3"/>
      <c r="AC32" s="3"/>
      <c r="AD32" s="3"/>
      <c r="AE32" s="3"/>
      <c r="AF32" s="3"/>
      <c r="AG32" s="3">
        <f t="shared" si="2"/>
        <v>0</v>
      </c>
    </row>
    <row r="33" spans="1:33" ht="19.5" x14ac:dyDescent="0.45">
      <c r="A33" s="44" t="s">
        <v>51</v>
      </c>
      <c r="B33" s="44"/>
      <c r="C33" s="3"/>
      <c r="D33" s="6"/>
      <c r="E33" s="9"/>
      <c r="F33" s="9"/>
      <c r="G33" s="12"/>
      <c r="H33" s="3"/>
      <c r="I33" s="3"/>
      <c r="J33" s="3"/>
      <c r="K33" s="3"/>
      <c r="L33" s="9"/>
      <c r="M33" s="9"/>
      <c r="N33" s="3"/>
      <c r="O33" s="3"/>
      <c r="P33" s="15"/>
      <c r="Q33" s="15"/>
      <c r="R33" s="15"/>
      <c r="S33" s="9"/>
      <c r="T33" s="9"/>
      <c r="U33" s="3"/>
      <c r="V33" s="3"/>
      <c r="W33" s="3"/>
      <c r="X33" s="3"/>
      <c r="Y33" s="3"/>
      <c r="Z33" s="12"/>
      <c r="AA33" s="9"/>
      <c r="AB33" s="3"/>
      <c r="AC33" s="3"/>
      <c r="AD33" s="3"/>
      <c r="AE33" s="3"/>
      <c r="AF33" s="3"/>
      <c r="AG33" s="3">
        <f t="shared" si="2"/>
        <v>0</v>
      </c>
    </row>
    <row r="34" spans="1:33" ht="19.5" x14ac:dyDescent="0.45">
      <c r="A34" s="44" t="s">
        <v>52</v>
      </c>
      <c r="B34" s="44"/>
      <c r="C34" s="3"/>
      <c r="D34" s="6">
        <v>7.5</v>
      </c>
      <c r="E34" s="9"/>
      <c r="F34" s="9"/>
      <c r="G34" s="12"/>
      <c r="H34" s="3"/>
      <c r="I34" s="3"/>
      <c r="J34" s="3"/>
      <c r="K34" s="3"/>
      <c r="L34" s="9"/>
      <c r="M34" s="9"/>
      <c r="N34" s="3"/>
      <c r="O34" s="3"/>
      <c r="P34" s="15"/>
      <c r="Q34" s="15"/>
      <c r="R34" s="15"/>
      <c r="S34" s="9"/>
      <c r="T34" s="9"/>
      <c r="U34" s="3"/>
      <c r="V34" s="3"/>
      <c r="W34" s="3"/>
      <c r="X34" s="3"/>
      <c r="Y34" s="3"/>
      <c r="Z34" s="12"/>
      <c r="AA34" s="9"/>
      <c r="AB34" s="3"/>
      <c r="AC34" s="3"/>
      <c r="AD34" s="3"/>
      <c r="AE34" s="3"/>
      <c r="AF34" s="3"/>
      <c r="AG34" s="3">
        <f t="shared" si="2"/>
        <v>7.5</v>
      </c>
    </row>
    <row r="35" spans="1:33" ht="19.5" x14ac:dyDescent="0.45">
      <c r="A35" s="44" t="s">
        <v>53</v>
      </c>
      <c r="B35" s="44"/>
      <c r="C35" s="3"/>
      <c r="D35" s="6"/>
      <c r="E35" s="9"/>
      <c r="F35" s="9"/>
      <c r="G35" s="12"/>
      <c r="H35" s="3"/>
      <c r="I35" s="3"/>
      <c r="J35" s="3"/>
      <c r="K35" s="3"/>
      <c r="L35" s="9"/>
      <c r="M35" s="9"/>
      <c r="N35" s="3"/>
      <c r="O35" s="3"/>
      <c r="P35" s="15"/>
      <c r="Q35" s="15"/>
      <c r="R35" s="15"/>
      <c r="S35" s="9"/>
      <c r="T35" s="9"/>
      <c r="U35" s="3"/>
      <c r="V35" s="3"/>
      <c r="W35" s="3"/>
      <c r="X35" s="3"/>
      <c r="Y35" s="3"/>
      <c r="Z35" s="12"/>
      <c r="AA35" s="9"/>
      <c r="AB35" s="3"/>
      <c r="AC35" s="3"/>
      <c r="AD35" s="3"/>
      <c r="AE35" s="3"/>
      <c r="AF35" s="3"/>
      <c r="AG35" s="3">
        <f t="shared" si="2"/>
        <v>0</v>
      </c>
    </row>
    <row r="36" spans="1:33" ht="19.5" x14ac:dyDescent="0.45">
      <c r="A36" s="18" t="s">
        <v>54</v>
      </c>
      <c r="B36" s="18"/>
      <c r="C36" s="4">
        <f>SUM(C28:C32)</f>
        <v>7.5</v>
      </c>
      <c r="D36" s="7"/>
      <c r="E36" s="10"/>
      <c r="F36" s="10"/>
      <c r="G36" s="13"/>
      <c r="H36" s="4">
        <f>SUM(H28:H32)</f>
        <v>7.5</v>
      </c>
      <c r="I36" s="4">
        <f>SUM(I28:I32)</f>
        <v>7.5</v>
      </c>
      <c r="J36" s="4">
        <f>SUM(J28:J32)</f>
        <v>7.5</v>
      </c>
      <c r="K36" s="4">
        <f>SUM(K28:K32)</f>
        <v>7.5</v>
      </c>
      <c r="L36" s="10"/>
      <c r="M36" s="10"/>
      <c r="N36" s="4">
        <f>SUM(N28:N32)</f>
        <v>7.5</v>
      </c>
      <c r="O36" s="4">
        <f>SUM(O28:O32)</f>
        <v>7.5</v>
      </c>
      <c r="P36" s="16">
        <f>SUM(P28:P32)</f>
        <v>7.5</v>
      </c>
      <c r="Q36" s="16">
        <f>SUM(Q28:Q32)</f>
        <v>7.5</v>
      </c>
      <c r="R36" s="16">
        <f>SUM(R28:R32)</f>
        <v>7.5</v>
      </c>
      <c r="S36" s="10"/>
      <c r="T36" s="10"/>
      <c r="U36" s="4">
        <f>SUM(U28:U32)</f>
        <v>7.5</v>
      </c>
      <c r="V36" s="4">
        <f>SUM(V28:V32)</f>
        <v>7.5</v>
      </c>
      <c r="W36" s="4">
        <f>SUM(W28:W32)</f>
        <v>7.5</v>
      </c>
      <c r="X36" s="4">
        <f>SUM(X28:X32)</f>
        <v>7.5</v>
      </c>
      <c r="Y36" s="4">
        <f>SUM(Y28:Y32)</f>
        <v>7.5</v>
      </c>
      <c r="Z36" s="13"/>
      <c r="AA36" s="10"/>
      <c r="AB36" s="4">
        <f t="shared" ref="AB36:AG36" si="3">SUM(AB28:AB32)</f>
        <v>7.5</v>
      </c>
      <c r="AC36" s="4">
        <f t="shared" si="3"/>
        <v>7.5</v>
      </c>
      <c r="AD36" s="4">
        <f t="shared" si="3"/>
        <v>7.5</v>
      </c>
      <c r="AE36" s="4">
        <f t="shared" si="3"/>
        <v>7.5</v>
      </c>
      <c r="AF36" s="4">
        <f t="shared" si="3"/>
        <v>7.5</v>
      </c>
      <c r="AG36" s="4">
        <f t="shared" si="3"/>
        <v>150</v>
      </c>
    </row>
    <row r="37" spans="1:33" ht="19.5" x14ac:dyDescent="0.45">
      <c r="A37" s="18" t="s">
        <v>55</v>
      </c>
      <c r="B37" s="18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2">
        <f>SUM(AG33:AG36)</f>
        <v>157.5</v>
      </c>
    </row>
    <row r="40" spans="1:33" x14ac:dyDescent="0.35">
      <c r="A40" s="38" t="s">
        <v>56</v>
      </c>
      <c r="B40" s="38" t="s">
        <v>57</v>
      </c>
      <c r="W40" s="46" t="s">
        <v>59</v>
      </c>
      <c r="X40" s="47"/>
      <c r="Y40" s="47"/>
      <c r="Z40" s="47"/>
      <c r="AA40" s="48"/>
      <c r="AB40" s="46" t="s">
        <v>9</v>
      </c>
      <c r="AC40" s="47"/>
      <c r="AD40" s="47"/>
      <c r="AE40" s="48"/>
    </row>
    <row r="41" spans="1:33" x14ac:dyDescent="0.35">
      <c r="A41" s="45"/>
      <c r="B41" s="45"/>
      <c r="W41" s="49"/>
      <c r="X41" s="50"/>
      <c r="Y41" s="50"/>
      <c r="Z41" s="50"/>
      <c r="AA41" s="51"/>
      <c r="AB41" s="49"/>
      <c r="AC41" s="50"/>
      <c r="AD41" s="50"/>
      <c r="AE41" s="51"/>
    </row>
    <row r="42" spans="1:33" ht="19.5" x14ac:dyDescent="0.35">
      <c r="A42" s="39"/>
      <c r="B42" s="20" t="s">
        <v>58</v>
      </c>
      <c r="W42" s="52"/>
      <c r="X42" s="53"/>
      <c r="Y42" s="53"/>
      <c r="Z42" s="53"/>
      <c r="AA42" s="54"/>
      <c r="AB42" s="55">
        <v>45118</v>
      </c>
      <c r="AC42" s="53"/>
      <c r="AD42" s="53"/>
      <c r="AE42" s="54"/>
    </row>
    <row r="44" spans="1:33" ht="19.5" x14ac:dyDescent="0.35">
      <c r="A44" s="56" t="s">
        <v>60</v>
      </c>
      <c r="B44" s="57"/>
    </row>
    <row r="45" spans="1:33" ht="19.5" x14ac:dyDescent="0.45">
      <c r="A45" s="2" t="s">
        <v>61</v>
      </c>
      <c r="B45" s="2" t="s">
        <v>62</v>
      </c>
      <c r="C45" s="2" t="s">
        <v>63</v>
      </c>
      <c r="D45" s="2" t="s">
        <v>64</v>
      </c>
      <c r="E45" s="2" t="s">
        <v>65</v>
      </c>
    </row>
    <row r="46" spans="1:33" x14ac:dyDescent="0.35">
      <c r="A46" t="s">
        <v>66</v>
      </c>
      <c r="B46" t="s">
        <v>69</v>
      </c>
      <c r="C46">
        <v>100</v>
      </c>
      <c r="D46" t="s">
        <v>67</v>
      </c>
      <c r="E46" t="s">
        <v>68</v>
      </c>
    </row>
  </sheetData>
  <mergeCells count="70">
    <mergeCell ref="A44:B44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2024-02-11T18:39:11Z</dcterms:created>
  <dcterms:modified xsi:type="dcterms:W3CDTF">2024-02-11T21:57:15Z</dcterms:modified>
  <cp:category/>
</cp:coreProperties>
</file>