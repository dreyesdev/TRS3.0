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E2DB2118-5654-48A3-9F57-373A87C911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W27" i="1"/>
  <c r="AG26" i="1"/>
  <c r="AG27" i="1" s="1"/>
  <c r="AG34" i="1" s="1"/>
  <c r="AF26" i="1"/>
  <c r="AF27" i="1" s="1"/>
  <c r="AE26" i="1"/>
  <c r="AE27" i="1" s="1"/>
  <c r="AD26" i="1"/>
  <c r="AC26" i="1"/>
  <c r="Z26" i="1"/>
  <c r="Z27" i="1" s="1"/>
  <c r="Z34" i="1" s="1"/>
  <c r="Y26" i="1"/>
  <c r="Y27" i="1" s="1"/>
  <c r="Y34" i="1" s="1"/>
  <c r="X26" i="1"/>
  <c r="X27" i="1" s="1"/>
  <c r="W26" i="1"/>
  <c r="S26" i="1"/>
  <c r="S27" i="1" s="1"/>
  <c r="R26" i="1"/>
  <c r="Q26" i="1"/>
  <c r="P26" i="1"/>
  <c r="P27" i="1" s="1"/>
  <c r="P34" i="1" s="1"/>
  <c r="O26" i="1"/>
  <c r="L26" i="1"/>
  <c r="K26" i="1"/>
  <c r="J26" i="1"/>
  <c r="I26" i="1"/>
  <c r="I27" i="1" s="1"/>
  <c r="I34" i="1" s="1"/>
  <c r="H26" i="1"/>
  <c r="H27" i="1" s="1"/>
  <c r="H34" i="1" s="1"/>
  <c r="E26" i="1"/>
  <c r="E27" i="1" s="1"/>
  <c r="D26" i="1"/>
  <c r="AH25" i="1"/>
  <c r="AH24" i="1"/>
  <c r="AH23" i="1"/>
  <c r="AF34" i="1" l="1"/>
  <c r="AE34" i="1"/>
  <c r="W34" i="1"/>
  <c r="R27" i="1"/>
  <c r="R34" i="1" s="1"/>
  <c r="S34" i="1"/>
  <c r="O27" i="1"/>
  <c r="O34" i="1" s="1"/>
  <c r="L27" i="1"/>
  <c r="L34" i="1" s="1"/>
  <c r="D27" i="1"/>
  <c r="D34" i="1" s="1"/>
  <c r="Q34" i="1"/>
  <c r="AH26" i="1"/>
  <c r="J27" i="1"/>
  <c r="J34" i="1" s="1"/>
  <c r="AC27" i="1"/>
  <c r="AC34" i="1" s="1"/>
  <c r="K27" i="1"/>
  <c r="K34" i="1" s="1"/>
  <c r="AD27" i="1"/>
  <c r="AD34" i="1" s="1"/>
  <c r="E34" i="1"/>
  <c r="X34" i="1"/>
  <c r="Q27" i="1"/>
  <c r="AH27" i="1" l="1"/>
  <c r="AH34" i="1" s="1"/>
  <c r="P16" i="1"/>
  <c r="X16" i="1" s="1"/>
  <c r="H16" i="1" l="1"/>
  <c r="AH35" i="1"/>
  <c r="AI24" i="1" l="1"/>
  <c r="AI23" i="1"/>
  <c r="AI25" i="1"/>
  <c r="AI26" i="1"/>
</calcChain>
</file>

<file path=xl/sharedStrings.xml><?xml version="1.0" encoding="utf-8"?>
<sst xmlns="http://schemas.openxmlformats.org/spreadsheetml/2006/main" count="93" uniqueCount="66">
  <si>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</si>
  <si>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</si>
  <si>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</si>
  <si>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</si>
  <si>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</si>
  <si>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</si>
  <si>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</si>
  <si>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</si>
  <si>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</si>
  <si>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</si>
  <si>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</si>
  <si>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</si>
  <si>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</si>
  <si>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</si>
  <si>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</si>
  <si>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</si>
  <si>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</si>
  <si>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</si>
  <si>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</si>
  <si>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</si>
  <si>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</si>
  <si>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</si>
  <si>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</si>
  <si>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</si>
  <si>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</si>
  <si>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</si>
  <si>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</si>
  <si>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</si>
  <si>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</si>
  <si>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</si>
  <si>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</si>
  <si>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</si>
  <si>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</si>
  <si>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</si>
  <si>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</si>
  <si>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</si>
  <si>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</si>
  <si>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</si>
  <si>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</si>
  <si>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</si>
  <si>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</si>
  <si>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Estimated:63 h</t>
  </si>
  <si>
    <t>PE104100 DT-GEO - WP3 Computational infrastructure and AI</t>
  </si>
  <si>
    <t>PE104100 DT-GEO - WP4 EOSC-enabled data management plan and exploitation</t>
  </si>
  <si>
    <t>Dedicacion: 20% Estimated:31.5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</si>
  <si>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</si>
  <si>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</si>
  <si>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</si>
  <si>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</si>
  <si>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</si>
  <si>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</si>
  <si>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</si>
  <si>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</si>
  <si>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</si>
  <si>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2024-06-03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</si>
  <si>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</si>
  <si>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</si>
  <si>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</si>
  <si>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</si>
  <si>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</si>
  <si>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</si>
  <si>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</si>
  <si>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0383/24</t>
  </si>
  <si>
    <t>2024-05-02</t>
  </si>
  <si>
    <t>2024-05-03</t>
  </si>
  <si>
    <t>PE104100 DT-GEO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</si>
</sst>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zoomScale="68" zoomScaleNormal="68" workbookViewId="0">
      <selection activeCell="AD31" sqref="AD31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AH34</f>
        <v>157.5</v>
      </c>
      <c r="I16" s="28"/>
      <c r="K16" s="27" t="s">
        <v>18</v>
      </c>
      <c r="L16" s="19"/>
      <c r="M16" s="19"/>
      <c r="N16" s="19"/>
      <c r="O16" s="19"/>
      <c r="P16" s="29">
        <f>AH26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11" t="s">
        <v>26</v>
      </c>
      <c r="G19" s="11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11" t="s">
        <v>26</v>
      </c>
      <c r="N19" s="11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11" t="s">
        <v>26</v>
      </c>
      <c r="U19" s="11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11" t="s">
        <v>26</v>
      </c>
      <c r="AB19" s="11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11" t="s">
        <v>27</v>
      </c>
      <c r="G20" s="11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11">
        <v>11</v>
      </c>
      <c r="N20" s="11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11">
        <v>18</v>
      </c>
      <c r="U20" s="11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11">
        <v>25</v>
      </c>
      <c r="AB20" s="11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2"/>
      <c r="G21" s="32"/>
      <c r="H21" s="33"/>
      <c r="I21" s="33"/>
      <c r="J21" s="33"/>
      <c r="K21" s="33"/>
      <c r="L21" s="33"/>
      <c r="M21" s="32"/>
      <c r="N21" s="32"/>
      <c r="O21" s="33"/>
      <c r="P21" s="33"/>
      <c r="Q21" s="33"/>
      <c r="R21" s="33"/>
      <c r="S21" s="33"/>
      <c r="T21" s="32"/>
      <c r="U21" s="32"/>
      <c r="V21" s="30"/>
      <c r="W21" s="33"/>
      <c r="X21" s="33"/>
      <c r="Y21" s="33"/>
      <c r="Z21" s="33"/>
      <c r="AA21" s="32"/>
      <c r="AB21" s="32"/>
      <c r="AC21" s="33"/>
      <c r="AD21" s="33"/>
      <c r="AE21" s="33"/>
      <c r="AF21" s="33"/>
      <c r="AG21" s="33"/>
      <c r="AH21" s="33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2"/>
      <c r="G22" s="32"/>
      <c r="H22" s="33"/>
      <c r="I22" s="33"/>
      <c r="J22" s="33"/>
      <c r="K22" s="33"/>
      <c r="L22" s="33"/>
      <c r="M22" s="32"/>
      <c r="N22" s="32"/>
      <c r="O22" s="33"/>
      <c r="P22" s="33"/>
      <c r="Q22" s="33"/>
      <c r="R22" s="33"/>
      <c r="S22" s="33"/>
      <c r="T22" s="32"/>
      <c r="U22" s="32"/>
      <c r="V22" s="30"/>
      <c r="W22" s="33"/>
      <c r="X22" s="33"/>
      <c r="Y22" s="33"/>
      <c r="Z22" s="33"/>
      <c r="AA22" s="32"/>
      <c r="AB22" s="32"/>
      <c r="AC22" s="33"/>
      <c r="AD22" s="33"/>
      <c r="AE22" s="33"/>
      <c r="AF22" s="33"/>
      <c r="AG22" s="33"/>
      <c r="AH22" s="33"/>
      <c r="AI22" s="37"/>
    </row>
    <row r="23" spans="1:35" ht="19.5" x14ac:dyDescent="0.3">
      <c r="A23" s="15" t="s">
        <v>40</v>
      </c>
      <c r="B23" s="15" t="s">
        <v>41</v>
      </c>
      <c r="C23" s="6"/>
      <c r="D23" s="9">
        <v>7.5</v>
      </c>
      <c r="E23" s="9">
        <v>7.5</v>
      </c>
      <c r="F23" s="12"/>
      <c r="G23" s="12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12"/>
      <c r="N23" s="12"/>
      <c r="O23" s="3">
        <v>7.5</v>
      </c>
      <c r="P23" s="3">
        <v>3</v>
      </c>
      <c r="Q23" s="3"/>
      <c r="R23" s="3"/>
      <c r="S23" s="3"/>
      <c r="T23" s="12"/>
      <c r="U23" s="12"/>
      <c r="V23" s="6"/>
      <c r="W23" s="3"/>
      <c r="X23" s="3"/>
      <c r="Y23" s="3"/>
      <c r="Z23" s="3"/>
      <c r="AA23" s="12"/>
      <c r="AB23" s="12"/>
      <c r="AC23" s="3"/>
      <c r="AD23" s="3"/>
      <c r="AE23" s="3"/>
      <c r="AF23" s="3"/>
      <c r="AG23" s="3"/>
      <c r="AH23" s="3">
        <f>SUM(C23:AG23)</f>
        <v>63</v>
      </c>
      <c r="AI23" s="16">
        <f>AH23/$AH$35</f>
        <v>0.4</v>
      </c>
    </row>
    <row r="24" spans="1:35" ht="19.5" x14ac:dyDescent="0.3">
      <c r="A24" s="15" t="s">
        <v>42</v>
      </c>
      <c r="B24" s="15" t="s">
        <v>41</v>
      </c>
      <c r="C24" s="6"/>
      <c r="D24" s="9"/>
      <c r="E24" s="9"/>
      <c r="F24" s="12"/>
      <c r="G24" s="12"/>
      <c r="H24" s="3"/>
      <c r="I24" s="3"/>
      <c r="J24" s="3"/>
      <c r="K24" s="3"/>
      <c r="L24" s="3"/>
      <c r="M24" s="12"/>
      <c r="N24" s="12"/>
      <c r="O24" s="3"/>
      <c r="P24" s="3">
        <v>4.5</v>
      </c>
      <c r="Q24" s="3">
        <v>7.5</v>
      </c>
      <c r="R24" s="3">
        <v>7.5</v>
      </c>
      <c r="S24" s="3">
        <v>7.5</v>
      </c>
      <c r="T24" s="12"/>
      <c r="U24" s="12"/>
      <c r="V24" s="6"/>
      <c r="W24" s="3">
        <v>7.5</v>
      </c>
      <c r="X24" s="3">
        <v>7.5</v>
      </c>
      <c r="Y24" s="3">
        <v>7.5</v>
      </c>
      <c r="Z24" s="3">
        <v>7.5</v>
      </c>
      <c r="AA24" s="12"/>
      <c r="AB24" s="12"/>
      <c r="AC24" s="3">
        <v>5</v>
      </c>
      <c r="AD24" s="3">
        <v>1</v>
      </c>
      <c r="AE24" s="3"/>
      <c r="AF24" s="3"/>
      <c r="AG24" s="3"/>
      <c r="AH24" s="3">
        <f>SUM(C24:AG24)</f>
        <v>63</v>
      </c>
      <c r="AI24" s="16">
        <f>AH24/$AH$35</f>
        <v>0.4</v>
      </c>
    </row>
    <row r="25" spans="1:35" ht="19.5" x14ac:dyDescent="0.3">
      <c r="A25" s="15" t="s">
        <v>43</v>
      </c>
      <c r="B25" s="15" t="s">
        <v>44</v>
      </c>
      <c r="C25" s="6"/>
      <c r="D25" s="9"/>
      <c r="E25" s="9"/>
      <c r="F25" s="12"/>
      <c r="G25" s="12"/>
      <c r="H25" s="3"/>
      <c r="I25" s="3"/>
      <c r="J25" s="3"/>
      <c r="K25" s="3"/>
      <c r="L25" s="3"/>
      <c r="M25" s="12"/>
      <c r="N25" s="12"/>
      <c r="O25" s="3"/>
      <c r="P25" s="3"/>
      <c r="Q25" s="3"/>
      <c r="R25" s="3"/>
      <c r="S25" s="3"/>
      <c r="T25" s="12"/>
      <c r="U25" s="12"/>
      <c r="V25" s="6"/>
      <c r="W25" s="3"/>
      <c r="X25" s="3"/>
      <c r="Y25" s="3"/>
      <c r="Z25" s="3"/>
      <c r="AA25" s="12"/>
      <c r="AB25" s="12"/>
      <c r="AC25" s="3">
        <v>2.5</v>
      </c>
      <c r="AD25" s="3">
        <v>6.5</v>
      </c>
      <c r="AE25" s="3">
        <v>7.5</v>
      </c>
      <c r="AF25" s="3">
        <v>7.5</v>
      </c>
      <c r="AG25" s="3">
        <v>7.5</v>
      </c>
      <c r="AH25" s="3">
        <f>SUM(C25:AG25)</f>
        <v>31.5</v>
      </c>
      <c r="AI25" s="16">
        <f>AH25/$AH$35</f>
        <v>0.2</v>
      </c>
    </row>
    <row r="26" spans="1:35" ht="19.5" x14ac:dyDescent="0.3">
      <c r="A26" s="39" t="s">
        <v>45</v>
      </c>
      <c r="B26" s="40"/>
      <c r="C26" s="7"/>
      <c r="D26" s="10">
        <f>SUM(D23:D25)</f>
        <v>7.5</v>
      </c>
      <c r="E26" s="10">
        <f>SUM(E23:E25)</f>
        <v>7.5</v>
      </c>
      <c r="F26" s="13"/>
      <c r="G26" s="13"/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4">
        <f>SUM(L23:L25)</f>
        <v>7.5</v>
      </c>
      <c r="M26" s="13"/>
      <c r="N26" s="13"/>
      <c r="O26" s="4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4">
        <f>SUM(S23:S25)</f>
        <v>7.5</v>
      </c>
      <c r="T26" s="13"/>
      <c r="U26" s="13"/>
      <c r="V26" s="7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13"/>
      <c r="AB26" s="13"/>
      <c r="AC26" s="4">
        <f t="shared" ref="AC26:AH26" si="0">SUM(AC23:AC25)</f>
        <v>7.5</v>
      </c>
      <c r="AD26" s="4">
        <f t="shared" si="0"/>
        <v>7.5</v>
      </c>
      <c r="AE26" s="4">
        <f t="shared" si="0"/>
        <v>7.5</v>
      </c>
      <c r="AF26" s="4">
        <f t="shared" si="0"/>
        <v>7.5</v>
      </c>
      <c r="AG26" s="4">
        <f t="shared" si="0"/>
        <v>7.5</v>
      </c>
      <c r="AH26" s="4">
        <f t="shared" si="0"/>
        <v>157.5</v>
      </c>
      <c r="AI26" s="14">
        <f>AH26/$AH$35</f>
        <v>1</v>
      </c>
    </row>
    <row r="27" spans="1:35" ht="19.5" x14ac:dyDescent="0.3">
      <c r="A27" s="41" t="s">
        <v>46</v>
      </c>
      <c r="B27" s="41"/>
      <c r="C27" s="6"/>
      <c r="D27" s="9">
        <f>7.5-D26</f>
        <v>0</v>
      </c>
      <c r="E27" s="9">
        <f>7.5-E26</f>
        <v>0</v>
      </c>
      <c r="F27" s="12"/>
      <c r="G27" s="12"/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3">
        <f>7.5-L26</f>
        <v>0</v>
      </c>
      <c r="M27" s="12"/>
      <c r="N27" s="12"/>
      <c r="O27" s="3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3">
        <f>7.5-S26</f>
        <v>0</v>
      </c>
      <c r="T27" s="12"/>
      <c r="U27" s="12"/>
      <c r="V27" s="6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12"/>
      <c r="AB27" s="12"/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3">
        <f>7.5-AG26</f>
        <v>0</v>
      </c>
      <c r="AH27" s="3">
        <f t="shared" ref="AH27:AH33" si="1">SUM(C27:AG27)</f>
        <v>0</v>
      </c>
    </row>
    <row r="28" spans="1:35" ht="19.5" x14ac:dyDescent="0.3">
      <c r="A28" s="41"/>
      <c r="B28" s="41"/>
      <c r="C28" s="6"/>
      <c r="D28" s="9"/>
      <c r="E28" s="9"/>
      <c r="F28" s="12"/>
      <c r="G28" s="12"/>
      <c r="H28" s="3"/>
      <c r="I28" s="3"/>
      <c r="J28" s="3"/>
      <c r="K28" s="3"/>
      <c r="L28" s="3"/>
      <c r="M28" s="12"/>
      <c r="N28" s="12"/>
      <c r="O28" s="3"/>
      <c r="P28" s="3"/>
      <c r="Q28" s="3"/>
      <c r="R28" s="3"/>
      <c r="S28" s="3"/>
      <c r="T28" s="12"/>
      <c r="U28" s="12"/>
      <c r="V28" s="6"/>
      <c r="W28" s="3"/>
      <c r="X28" s="3"/>
      <c r="Y28" s="3"/>
      <c r="Z28" s="3"/>
      <c r="AA28" s="12"/>
      <c r="AB28" s="12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41"/>
      <c r="B29" s="41"/>
      <c r="C29" s="6"/>
      <c r="D29" s="9"/>
      <c r="E29" s="9"/>
      <c r="F29" s="12"/>
      <c r="G29" s="12"/>
      <c r="H29" s="3"/>
      <c r="I29" s="3"/>
      <c r="J29" s="3"/>
      <c r="K29" s="3"/>
      <c r="L29" s="3"/>
      <c r="M29" s="12"/>
      <c r="N29" s="12"/>
      <c r="O29" s="3"/>
      <c r="P29" s="3"/>
      <c r="Q29" s="3"/>
      <c r="R29" s="3"/>
      <c r="S29" s="3"/>
      <c r="T29" s="12"/>
      <c r="U29" s="12"/>
      <c r="V29" s="6"/>
      <c r="W29" s="3"/>
      <c r="X29" s="3"/>
      <c r="Y29" s="3"/>
      <c r="Z29" s="3"/>
      <c r="AA29" s="12"/>
      <c r="AB29" s="12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41"/>
      <c r="B30" s="41"/>
      <c r="C30" s="6"/>
      <c r="D30" s="9"/>
      <c r="E30" s="9"/>
      <c r="F30" s="12"/>
      <c r="G30" s="12"/>
      <c r="H30" s="3"/>
      <c r="I30" s="3"/>
      <c r="J30" s="3"/>
      <c r="K30" s="3"/>
      <c r="L30" s="3"/>
      <c r="M30" s="12"/>
      <c r="N30" s="12"/>
      <c r="O30" s="3"/>
      <c r="P30" s="3"/>
      <c r="Q30" s="3"/>
      <c r="R30" s="3"/>
      <c r="S30" s="3"/>
      <c r="T30" s="12"/>
      <c r="U30" s="12"/>
      <c r="V30" s="6"/>
      <c r="W30" s="3"/>
      <c r="X30" s="3"/>
      <c r="Y30" s="3"/>
      <c r="Z30" s="3"/>
      <c r="AA30" s="12"/>
      <c r="AB30" s="12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41" t="s">
        <v>47</v>
      </c>
      <c r="B31" s="41"/>
      <c r="C31" s="6"/>
      <c r="D31" s="9"/>
      <c r="E31" s="9"/>
      <c r="F31" s="12"/>
      <c r="G31" s="12"/>
      <c r="H31" s="3"/>
      <c r="I31" s="3"/>
      <c r="J31" s="3"/>
      <c r="K31" s="3"/>
      <c r="L31" s="3"/>
      <c r="M31" s="12"/>
      <c r="N31" s="12"/>
      <c r="O31" s="3"/>
      <c r="P31" s="3"/>
      <c r="Q31" s="3"/>
      <c r="R31" s="3"/>
      <c r="S31" s="3"/>
      <c r="T31" s="12"/>
      <c r="U31" s="12"/>
      <c r="V31" s="6"/>
      <c r="W31" s="3"/>
      <c r="X31" s="3"/>
      <c r="Y31" s="3"/>
      <c r="Z31" s="3"/>
      <c r="AA31" s="12"/>
      <c r="AB31" s="12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41" t="s">
        <v>48</v>
      </c>
      <c r="B32" s="41"/>
      <c r="C32" s="6"/>
      <c r="D32" s="9"/>
      <c r="E32" s="9"/>
      <c r="F32" s="12"/>
      <c r="G32" s="12"/>
      <c r="H32" s="3"/>
      <c r="I32" s="3"/>
      <c r="J32" s="3"/>
      <c r="K32" s="3"/>
      <c r="L32" s="3"/>
      <c r="M32" s="12"/>
      <c r="N32" s="12"/>
      <c r="O32" s="3"/>
      <c r="P32" s="3"/>
      <c r="Q32" s="3"/>
      <c r="R32" s="3"/>
      <c r="S32" s="3"/>
      <c r="T32" s="12"/>
      <c r="U32" s="12"/>
      <c r="V32" s="6"/>
      <c r="W32" s="3"/>
      <c r="X32" s="3"/>
      <c r="Y32" s="3"/>
      <c r="Z32" s="3"/>
      <c r="AA32" s="12"/>
      <c r="AB32" s="12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41" t="s">
        <v>49</v>
      </c>
      <c r="B33" s="41"/>
      <c r="C33" s="6"/>
      <c r="D33" s="9"/>
      <c r="E33" s="9"/>
      <c r="F33" s="12"/>
      <c r="G33" s="12"/>
      <c r="H33" s="3"/>
      <c r="I33" s="3"/>
      <c r="J33" s="3"/>
      <c r="K33" s="3"/>
      <c r="L33" s="3"/>
      <c r="M33" s="12"/>
      <c r="N33" s="12"/>
      <c r="O33" s="3"/>
      <c r="P33" s="3"/>
      <c r="Q33" s="3"/>
      <c r="R33" s="3"/>
      <c r="S33" s="3"/>
      <c r="T33" s="12"/>
      <c r="U33" s="12"/>
      <c r="V33" s="6"/>
      <c r="W33" s="3"/>
      <c r="X33" s="3"/>
      <c r="Y33" s="3"/>
      <c r="Z33" s="3"/>
      <c r="AA33" s="12"/>
      <c r="AB33" s="12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15" t="s">
        <v>50</v>
      </c>
      <c r="B34" s="15"/>
      <c r="C34" s="7"/>
      <c r="D34" s="10">
        <f>SUM(D26:D30)</f>
        <v>7.5</v>
      </c>
      <c r="E34" s="10">
        <f>SUM(E26:E30)</f>
        <v>7.5</v>
      </c>
      <c r="F34" s="13"/>
      <c r="G34" s="13"/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4">
        <f>SUM(L26:L30)</f>
        <v>7.5</v>
      </c>
      <c r="M34" s="13"/>
      <c r="N34" s="13"/>
      <c r="O34" s="4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4">
        <f>SUM(S26:S30)</f>
        <v>7.5</v>
      </c>
      <c r="T34" s="13"/>
      <c r="U34" s="13"/>
      <c r="V34" s="7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13"/>
      <c r="AB34" s="13"/>
      <c r="AC34" s="4">
        <f t="shared" ref="AC34:AH34" si="2">SUM(AC26:AC30)</f>
        <v>7.5</v>
      </c>
      <c r="AD34" s="4">
        <f t="shared" si="2"/>
        <v>7.5</v>
      </c>
      <c r="AE34" s="4">
        <f t="shared" si="2"/>
        <v>7.5</v>
      </c>
      <c r="AF34" s="4">
        <f t="shared" si="2"/>
        <v>7.5</v>
      </c>
      <c r="AG34" s="4">
        <f t="shared" si="2"/>
        <v>7.5</v>
      </c>
      <c r="AH34" s="4">
        <f t="shared" si="2"/>
        <v>157.5</v>
      </c>
    </row>
    <row r="35" spans="1:34" ht="19.5" x14ac:dyDescent="0.3">
      <c r="A35" s="15" t="s">
        <v>51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157.5</v>
      </c>
    </row>
    <row r="38" spans="1:34" x14ac:dyDescent="0.25">
      <c r="A38" s="35" t="s">
        <v>52</v>
      </c>
      <c r="B38" s="35" t="s">
        <v>53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4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4" ht="19.5" x14ac:dyDescent="0.25">
      <c r="A40" s="36"/>
      <c r="B40" s="17" t="s">
        <v>54</v>
      </c>
      <c r="W40" s="49"/>
      <c r="X40" s="50"/>
      <c r="Y40" s="50"/>
      <c r="Z40" s="50"/>
      <c r="AA40" s="51"/>
      <c r="AB40" s="52" t="s">
        <v>54</v>
      </c>
      <c r="AC40" s="50"/>
      <c r="AD40" s="50"/>
      <c r="AE40" s="51"/>
    </row>
    <row r="42" spans="1:34" ht="19.5" x14ac:dyDescent="0.25">
      <c r="A42" s="53" t="s">
        <v>56</v>
      </c>
      <c r="B42" s="54"/>
    </row>
    <row r="43" spans="1:34" ht="19.5" x14ac:dyDescent="0.3">
      <c r="A43" s="2" t="s">
        <v>57</v>
      </c>
      <c r="B43" s="2" t="s">
        <v>58</v>
      </c>
      <c r="C43" s="2" t="s">
        <v>59</v>
      </c>
      <c r="D43" s="2" t="s">
        <v>60</v>
      </c>
      <c r="E43" s="2" t="s">
        <v>61</v>
      </c>
    </row>
    <row r="44" spans="1:34" x14ac:dyDescent="0.25">
      <c r="A44" t="s">
        <v>62</v>
      </c>
      <c r="B44" t="s">
        <v>65</v>
      </c>
      <c r="C44">
        <v>100</v>
      </c>
      <c r="D44" t="s">
        <v>63</v>
      </c>
      <c r="E44" t="s">
        <v>64</v>
      </c>
    </row>
  </sheetData>
  <mergeCells count="71">
    <mergeCell ref="A42:B42"/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2024-09-20T08:09:19Z</dcterms:created>
  <dcterms:modified xsi:type="dcterms:W3CDTF">2024-09-20T09:20:38Z</dcterms:modified>
  <cp:category/>
</cp:coreProperties>
</file>