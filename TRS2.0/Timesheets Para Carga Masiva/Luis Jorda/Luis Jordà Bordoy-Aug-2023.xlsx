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MDDB\FINANCIAL REPORTS\RP1\TIMESHEETS\LUIS JORDA\"/>
    </mc:Choice>
  </mc:AlternateContent>
  <xr:revisionPtr revIDLastSave="0" documentId="13_ncr:1_{B4E26D84-A67C-43CF-89C1-4D529909DD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G27" i="1"/>
  <c r="AG28" i="1" s="1"/>
  <c r="AF27" i="1"/>
  <c r="AF28" i="1" s="1"/>
  <c r="AE27" i="1"/>
  <c r="AE28" i="1" s="1"/>
  <c r="AD27" i="1"/>
  <c r="AD28" i="1" s="1"/>
  <c r="AA27" i="1"/>
  <c r="AA28" i="1" s="1"/>
  <c r="Z27" i="1"/>
  <c r="Z28" i="1" s="1"/>
  <c r="Z35" i="1" s="1"/>
  <c r="Y27" i="1"/>
  <c r="X27" i="1"/>
  <c r="W27" i="1"/>
  <c r="T27" i="1"/>
  <c r="T28" i="1" s="1"/>
  <c r="S27" i="1"/>
  <c r="S28" i="1" s="1"/>
  <c r="R27" i="1"/>
  <c r="R28" i="1" s="1"/>
  <c r="P27" i="1"/>
  <c r="P28" i="1" s="1"/>
  <c r="M27" i="1"/>
  <c r="M28" i="1" s="1"/>
  <c r="M35" i="1" s="1"/>
  <c r="L27" i="1"/>
  <c r="K27" i="1"/>
  <c r="J27" i="1"/>
  <c r="J28" i="1" s="1"/>
  <c r="I27" i="1"/>
  <c r="I28" i="1" s="1"/>
  <c r="F27" i="1"/>
  <c r="F28" i="1" s="1"/>
  <c r="E27" i="1"/>
  <c r="E28" i="1" s="1"/>
  <c r="D27" i="1"/>
  <c r="D28" i="1" s="1"/>
  <c r="C27" i="1"/>
  <c r="C28" i="1" s="1"/>
  <c r="AH26" i="1"/>
  <c r="AH25" i="1"/>
  <c r="AH24" i="1"/>
  <c r="AH23" i="1"/>
  <c r="AH27" i="1" l="1"/>
  <c r="P16" i="1" s="1"/>
  <c r="X16" i="1" s="1"/>
  <c r="C35" i="1"/>
  <c r="K28" i="1"/>
  <c r="K35" i="1" s="1"/>
  <c r="X28" i="1"/>
  <c r="D35" i="1"/>
  <c r="P35" i="1"/>
  <c r="AA35" i="1"/>
  <c r="L28" i="1"/>
  <c r="L35" i="1" s="1"/>
  <c r="Y28" i="1"/>
  <c r="Y35" i="1" s="1"/>
  <c r="E35" i="1"/>
  <c r="R35" i="1"/>
  <c r="AD35" i="1"/>
  <c r="F35" i="1"/>
  <c r="S35" i="1"/>
  <c r="AE35" i="1"/>
  <c r="W28" i="1"/>
  <c r="W35" i="1" s="1"/>
  <c r="I35" i="1"/>
  <c r="T35" i="1"/>
  <c r="AF35" i="1"/>
  <c r="J35" i="1"/>
  <c r="AG35" i="1"/>
  <c r="AH28" i="1" l="1"/>
  <c r="AH35" i="1" s="1"/>
  <c r="H16" i="1" s="1"/>
  <c r="X35" i="1"/>
  <c r="AH36" i="1" l="1"/>
  <c r="AI23" i="1" s="1"/>
  <c r="AI24" i="1" l="1"/>
  <c r="AI26" i="1"/>
  <c r="AI27" i="1"/>
  <c r="AI25" i="1"/>
</calcChain>
</file>

<file path=xl/sharedStrings.xml><?xml version="1.0" encoding="utf-8"?>
<sst xmlns="http://schemas.openxmlformats.org/spreadsheetml/2006/main" count="84" uniqueCount="59">
  <si>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</si>
  <si>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</si>
  <si>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</si>
  <si>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</si>
  <si>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</si>
  <si>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</si>
  <si>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</si>
  <si>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</si>
  <si>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</si>
  <si>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Luis Jordà Bordoy</t>
  </si>
  <si>
    <t>R1 (first Stage Researcher)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</si>
  <si>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</si>
  <si>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</si>
  <si>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</si>
  <si>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</si>
  <si>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</si>
  <si>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</si>
  <si>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</si>
  <si>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</si>
  <si>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</si>
  <si>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</si>
  <si>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</si>
  <si>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</si>
  <si>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</si>
  <si>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</si>
  <si>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</si>
  <si>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</si>
  <si>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</si>
  <si>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</si>
  <si>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</si>
  <si>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</si>
  <si>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</si>
  <si>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</si>
  <si>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</si>
  <si>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</si>
  <si>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</si>
  <si>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</si>
  <si>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</si>
  <si>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</si>
  <si>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</si>
  <si>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pe118000 BioExcel-3 - WP2 Environments, Automation, Data Integration and AI</t>
  </si>
  <si>
    <t>Dedicacion: 40% Estimated:66 h</t>
  </si>
  <si>
    <t>pe118000 BioExcel-3 - WP3 User-driven Development, Support and Usability</t>
  </si>
  <si>
    <t>Dedicacion: 5% Estimated:8.25 h</t>
  </si>
  <si>
    <t>PE118700 MDDB - WP2 Technical Infrastructure</t>
  </si>
  <si>
    <t>Dedicacion: 45% Estimated:74.25 h</t>
  </si>
  <si>
    <t>PE118700 MDDB - WP3 Technical feasibility and impact: pilot projects</t>
  </si>
  <si>
    <t>Dedicacion: 10% Estimated:16.5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</si>
  <si>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</si>
  <si>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</si>
  <si>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</si>
  <si>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</si>
  <si>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</si>
  <si>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</si>
  <si>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</si>
  <si>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</si>
  <si>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Josep Lluis Gelpi Buchaca</t>
  </si>
  <si>
    <t xml:space="preserve">Date and signature of staff member:	</t>
  </si>
  <si>
    <t>2023-09-08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</si>
</sst>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1"/>
  <sheetViews>
    <sheetView tabSelected="1" zoomScale="70" zoomScaleNormal="70" workbookViewId="0">
      <selection activeCell="B42" sqref="B42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AH35</f>
        <v>165</v>
      </c>
      <c r="I16" s="25"/>
      <c r="K16" s="24" t="s">
        <v>18</v>
      </c>
      <c r="L16" s="16"/>
      <c r="M16" s="16"/>
      <c r="N16" s="16"/>
      <c r="O16" s="16"/>
      <c r="P16" s="25">
        <f>AH27</f>
        <v>165</v>
      </c>
      <c r="Q16" s="25"/>
      <c r="S16" s="24" t="s">
        <v>19</v>
      </c>
      <c r="T16" s="16"/>
      <c r="U16" s="16"/>
      <c r="V16" s="16"/>
      <c r="W16" s="16"/>
      <c r="X16" s="25">
        <f>(P16/7.5) *1</f>
        <v>22</v>
      </c>
      <c r="Y16" s="25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5" t="s">
        <v>28</v>
      </c>
      <c r="H19" s="5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5" t="s">
        <v>28</v>
      </c>
      <c r="O19" s="5" t="s">
        <v>30</v>
      </c>
      <c r="P19" s="2" t="s">
        <v>32</v>
      </c>
      <c r="Q19" s="8" t="s">
        <v>20</v>
      </c>
      <c r="R19" s="2" t="s">
        <v>22</v>
      </c>
      <c r="S19" s="2" t="s">
        <v>24</v>
      </c>
      <c r="T19" s="2" t="s">
        <v>26</v>
      </c>
      <c r="U19" s="5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5" t="s">
        <v>28</v>
      </c>
      <c r="AC19" s="5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29" t="s">
        <v>36</v>
      </c>
      <c r="AI19" s="30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5" t="s">
        <v>29</v>
      </c>
      <c r="H20" s="5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5">
        <v>12</v>
      </c>
      <c r="O20" s="5">
        <v>13</v>
      </c>
      <c r="P20" s="2">
        <v>14</v>
      </c>
      <c r="Q20" s="8">
        <v>15</v>
      </c>
      <c r="R20" s="2">
        <v>16</v>
      </c>
      <c r="S20" s="2">
        <v>17</v>
      </c>
      <c r="T20" s="2">
        <v>18</v>
      </c>
      <c r="U20" s="5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5">
        <v>26</v>
      </c>
      <c r="AC20" s="5">
        <v>27</v>
      </c>
      <c r="AD20" s="2">
        <v>28</v>
      </c>
      <c r="AE20" s="2">
        <v>29</v>
      </c>
      <c r="AF20" s="2">
        <v>30</v>
      </c>
      <c r="AG20" s="2">
        <v>31</v>
      </c>
      <c r="AH20" s="29"/>
      <c r="AI20" s="31"/>
    </row>
    <row r="21" spans="1:35" ht="19.5" x14ac:dyDescent="0.3">
      <c r="A21" s="17" t="s">
        <v>38</v>
      </c>
      <c r="B21" s="17"/>
      <c r="C21" s="26"/>
      <c r="D21" s="26"/>
      <c r="E21" s="26"/>
      <c r="F21" s="26"/>
      <c r="G21" s="27"/>
      <c r="H21" s="27"/>
      <c r="I21" s="26"/>
      <c r="J21" s="26"/>
      <c r="K21" s="26"/>
      <c r="L21" s="26"/>
      <c r="M21" s="26"/>
      <c r="N21" s="27"/>
      <c r="O21" s="27"/>
      <c r="P21" s="26"/>
      <c r="Q21" s="28"/>
      <c r="R21" s="26"/>
      <c r="S21" s="26"/>
      <c r="T21" s="26"/>
      <c r="U21" s="27"/>
      <c r="V21" s="27"/>
      <c r="W21" s="26"/>
      <c r="X21" s="26"/>
      <c r="Y21" s="26"/>
      <c r="Z21" s="26"/>
      <c r="AA21" s="26"/>
      <c r="AB21" s="27"/>
      <c r="AC21" s="27"/>
      <c r="AD21" s="26"/>
      <c r="AE21" s="26"/>
      <c r="AF21" s="26"/>
      <c r="AG21" s="26"/>
      <c r="AH21" s="26"/>
      <c r="AI21" s="32"/>
    </row>
    <row r="22" spans="1:35" ht="19.5" x14ac:dyDescent="0.3">
      <c r="A22" s="33" t="s">
        <v>39</v>
      </c>
      <c r="B22" s="33"/>
      <c r="C22" s="26"/>
      <c r="D22" s="26"/>
      <c r="E22" s="26"/>
      <c r="F22" s="26"/>
      <c r="G22" s="27"/>
      <c r="H22" s="27"/>
      <c r="I22" s="26"/>
      <c r="J22" s="26"/>
      <c r="K22" s="26"/>
      <c r="L22" s="26"/>
      <c r="M22" s="26"/>
      <c r="N22" s="27"/>
      <c r="O22" s="27"/>
      <c r="P22" s="26"/>
      <c r="Q22" s="28"/>
      <c r="R22" s="26"/>
      <c r="S22" s="26"/>
      <c r="T22" s="26"/>
      <c r="U22" s="27"/>
      <c r="V22" s="27"/>
      <c r="W22" s="26"/>
      <c r="X22" s="26"/>
      <c r="Y22" s="26"/>
      <c r="Z22" s="26"/>
      <c r="AA22" s="26"/>
      <c r="AB22" s="27"/>
      <c r="AC22" s="27"/>
      <c r="AD22" s="26"/>
      <c r="AE22" s="26"/>
      <c r="AF22" s="26"/>
      <c r="AG22" s="26"/>
      <c r="AH22" s="26"/>
      <c r="AI22" s="32"/>
    </row>
    <row r="23" spans="1:35" ht="19.5" x14ac:dyDescent="0.3">
      <c r="A23" s="12" t="s">
        <v>40</v>
      </c>
      <c r="B23" s="12" t="s">
        <v>41</v>
      </c>
      <c r="C23" s="48">
        <v>7.5</v>
      </c>
      <c r="D23" s="48">
        <v>1</v>
      </c>
      <c r="E23" s="48"/>
      <c r="F23" s="48"/>
      <c r="G23" s="49"/>
      <c r="H23" s="49"/>
      <c r="I23" s="48">
        <v>7.5</v>
      </c>
      <c r="J23" s="48">
        <v>7.5</v>
      </c>
      <c r="K23" s="48">
        <v>1</v>
      </c>
      <c r="L23" s="48"/>
      <c r="M23" s="48"/>
      <c r="N23" s="49"/>
      <c r="O23" s="49"/>
      <c r="P23" s="48">
        <v>7.5</v>
      </c>
      <c r="Q23" s="50"/>
      <c r="R23" s="48">
        <v>2</v>
      </c>
      <c r="S23" s="48"/>
      <c r="T23" s="48"/>
      <c r="U23" s="49"/>
      <c r="V23" s="49"/>
      <c r="W23" s="48">
        <v>7.5</v>
      </c>
      <c r="X23" s="48">
        <v>7.5</v>
      </c>
      <c r="Y23" s="48">
        <v>1</v>
      </c>
      <c r="Z23" s="48"/>
      <c r="AA23" s="48"/>
      <c r="AB23" s="49"/>
      <c r="AC23" s="49"/>
      <c r="AD23" s="48">
        <v>7.5</v>
      </c>
      <c r="AE23" s="48">
        <v>7.5</v>
      </c>
      <c r="AF23" s="48">
        <v>1</v>
      </c>
      <c r="AG23" s="48"/>
      <c r="AH23" s="3">
        <f>SUM(C23:AG23)</f>
        <v>66</v>
      </c>
      <c r="AI23" s="13">
        <f>AH23/$AH$36</f>
        <v>0.4</v>
      </c>
    </row>
    <row r="24" spans="1:35" ht="19.5" x14ac:dyDescent="0.3">
      <c r="A24" s="12" t="s">
        <v>42</v>
      </c>
      <c r="B24" s="12" t="s">
        <v>43</v>
      </c>
      <c r="C24" s="48"/>
      <c r="D24" s="48">
        <v>1.5</v>
      </c>
      <c r="E24" s="48"/>
      <c r="F24" s="48"/>
      <c r="G24" s="49"/>
      <c r="H24" s="49"/>
      <c r="I24" s="48"/>
      <c r="J24" s="48"/>
      <c r="K24" s="48">
        <v>1.5</v>
      </c>
      <c r="L24" s="48"/>
      <c r="M24" s="48"/>
      <c r="N24" s="49"/>
      <c r="O24" s="49"/>
      <c r="P24" s="48"/>
      <c r="Q24" s="50"/>
      <c r="R24" s="48">
        <v>2.5</v>
      </c>
      <c r="S24" s="48"/>
      <c r="T24" s="48"/>
      <c r="U24" s="49"/>
      <c r="V24" s="49"/>
      <c r="W24" s="48"/>
      <c r="X24" s="48"/>
      <c r="Y24" s="48">
        <v>1.5</v>
      </c>
      <c r="Z24" s="48"/>
      <c r="AA24" s="48"/>
      <c r="AB24" s="49"/>
      <c r="AC24" s="49"/>
      <c r="AD24" s="48"/>
      <c r="AE24" s="48"/>
      <c r="AF24" s="48">
        <v>1.5</v>
      </c>
      <c r="AG24" s="48"/>
      <c r="AH24" s="3">
        <f>SUM(C24:AG24)</f>
        <v>8.5</v>
      </c>
      <c r="AI24" s="13">
        <f>AH24/$AH$36</f>
        <v>5.1515151515151514E-2</v>
      </c>
    </row>
    <row r="25" spans="1:35" ht="19.5" x14ac:dyDescent="0.3">
      <c r="A25" s="12" t="s">
        <v>44</v>
      </c>
      <c r="B25" s="12" t="s">
        <v>45</v>
      </c>
      <c r="C25" s="3"/>
      <c r="D25" s="3">
        <v>5</v>
      </c>
      <c r="E25" s="3">
        <v>5</v>
      </c>
      <c r="F25" s="3">
        <v>5</v>
      </c>
      <c r="G25" s="6"/>
      <c r="H25" s="6"/>
      <c r="I25" s="3"/>
      <c r="J25" s="3"/>
      <c r="K25" s="3">
        <v>4</v>
      </c>
      <c r="L25" s="3">
        <v>4</v>
      </c>
      <c r="M25" s="3">
        <v>5</v>
      </c>
      <c r="N25" s="6"/>
      <c r="O25" s="6"/>
      <c r="P25" s="3"/>
      <c r="Q25" s="9"/>
      <c r="R25" s="3">
        <v>3</v>
      </c>
      <c r="S25" s="3">
        <v>5.5</v>
      </c>
      <c r="T25" s="3">
        <v>5</v>
      </c>
      <c r="U25" s="6"/>
      <c r="V25" s="6"/>
      <c r="W25" s="3"/>
      <c r="X25" s="3"/>
      <c r="Y25" s="3">
        <v>5</v>
      </c>
      <c r="Z25" s="3">
        <v>7.5</v>
      </c>
      <c r="AA25" s="3">
        <v>7.5</v>
      </c>
      <c r="AB25" s="6"/>
      <c r="AC25" s="6"/>
      <c r="AD25" s="3"/>
      <c r="AE25" s="3"/>
      <c r="AF25" s="3">
        <v>5</v>
      </c>
      <c r="AG25" s="3">
        <v>7.5</v>
      </c>
      <c r="AH25" s="3">
        <f>SUM(C25:AG25)</f>
        <v>74</v>
      </c>
      <c r="AI25" s="13">
        <f>AH25/$AH$36</f>
        <v>0.44848484848484849</v>
      </c>
    </row>
    <row r="26" spans="1:35" ht="19.5" x14ac:dyDescent="0.3">
      <c r="A26" s="12" t="s">
        <v>46</v>
      </c>
      <c r="B26" s="12" t="s">
        <v>47</v>
      </c>
      <c r="C26" s="3"/>
      <c r="D26" s="3"/>
      <c r="E26" s="3">
        <v>2.5</v>
      </c>
      <c r="F26" s="3">
        <v>2.5</v>
      </c>
      <c r="G26" s="6"/>
      <c r="H26" s="6"/>
      <c r="I26" s="3"/>
      <c r="J26" s="3"/>
      <c r="K26" s="3">
        <v>1</v>
      </c>
      <c r="L26" s="3">
        <v>3.5</v>
      </c>
      <c r="M26" s="3">
        <v>2.5</v>
      </c>
      <c r="N26" s="6"/>
      <c r="O26" s="6"/>
      <c r="P26" s="3"/>
      <c r="Q26" s="9"/>
      <c r="R26" s="3"/>
      <c r="S26" s="3">
        <v>2</v>
      </c>
      <c r="T26" s="3">
        <v>2.5</v>
      </c>
      <c r="U26" s="6"/>
      <c r="V26" s="6"/>
      <c r="W26" s="3"/>
      <c r="X26" s="3"/>
      <c r="Y26" s="3"/>
      <c r="Z26" s="3"/>
      <c r="AA26" s="3"/>
      <c r="AB26" s="6"/>
      <c r="AC26" s="6"/>
      <c r="AD26" s="3"/>
      <c r="AE26" s="3"/>
      <c r="AF26" s="3"/>
      <c r="AG26" s="3"/>
      <c r="AH26" s="3">
        <f>SUM(C26:AG26)</f>
        <v>16.5</v>
      </c>
      <c r="AI26" s="13">
        <f>AH26/$AH$36</f>
        <v>0.1</v>
      </c>
    </row>
    <row r="27" spans="1:35" ht="19.5" x14ac:dyDescent="0.3">
      <c r="A27" s="34" t="s">
        <v>48</v>
      </c>
      <c r="B27" s="35"/>
      <c r="C27" s="4">
        <f>SUM(C23:C26)</f>
        <v>7.5</v>
      </c>
      <c r="D27" s="4">
        <f>SUM(D23:D26)</f>
        <v>7.5</v>
      </c>
      <c r="E27" s="4">
        <f>SUM(E23:E26)</f>
        <v>7.5</v>
      </c>
      <c r="F27" s="4">
        <f>SUM(F23:F26)</f>
        <v>7.5</v>
      </c>
      <c r="G27" s="7"/>
      <c r="H27" s="7"/>
      <c r="I27" s="4">
        <f>SUM(I23:I26)</f>
        <v>7.5</v>
      </c>
      <c r="J27" s="4">
        <f>SUM(J23:J26)</f>
        <v>7.5</v>
      </c>
      <c r="K27" s="4">
        <f>SUM(K23:K26)</f>
        <v>7.5</v>
      </c>
      <c r="L27" s="4">
        <f>SUM(L23:L26)</f>
        <v>7.5</v>
      </c>
      <c r="M27" s="4">
        <f>SUM(M23:M26)</f>
        <v>7.5</v>
      </c>
      <c r="N27" s="7"/>
      <c r="O27" s="7"/>
      <c r="P27" s="4">
        <f>SUM(P23:P26)</f>
        <v>7.5</v>
      </c>
      <c r="Q27" s="10"/>
      <c r="R27" s="4">
        <f>SUM(R23:R26)</f>
        <v>7.5</v>
      </c>
      <c r="S27" s="4">
        <f>SUM(S23:S26)</f>
        <v>7.5</v>
      </c>
      <c r="T27" s="4">
        <f>SUM(T23:T26)</f>
        <v>7.5</v>
      </c>
      <c r="U27" s="7"/>
      <c r="V27" s="7"/>
      <c r="W27" s="4">
        <f>SUM(W23:W26)</f>
        <v>7.5</v>
      </c>
      <c r="X27" s="4">
        <f>SUM(X23:X26)</f>
        <v>7.5</v>
      </c>
      <c r="Y27" s="4">
        <f>SUM(Y23:Y26)</f>
        <v>7.5</v>
      </c>
      <c r="Z27" s="4">
        <f>SUM(Z23:Z26)</f>
        <v>7.5</v>
      </c>
      <c r="AA27" s="4">
        <f>SUM(AA23:AA26)</f>
        <v>7.5</v>
      </c>
      <c r="AB27" s="7"/>
      <c r="AC27" s="7"/>
      <c r="AD27" s="4">
        <f>SUM(AD23:AD26)</f>
        <v>7.5</v>
      </c>
      <c r="AE27" s="4">
        <f>SUM(AE23:AE26)</f>
        <v>7.5</v>
      </c>
      <c r="AF27" s="4">
        <f>SUM(AF23:AF26)</f>
        <v>7.5</v>
      </c>
      <c r="AG27" s="4">
        <f>SUM(AG23:AG26)</f>
        <v>7.5</v>
      </c>
      <c r="AH27" s="4">
        <f>SUM(AH23:AH26)</f>
        <v>165</v>
      </c>
      <c r="AI27" s="11">
        <f>AH27/$AH$36</f>
        <v>1</v>
      </c>
    </row>
    <row r="28" spans="1:35" ht="19.5" x14ac:dyDescent="0.3">
      <c r="A28" s="36" t="s">
        <v>49</v>
      </c>
      <c r="B28" s="36"/>
      <c r="C28" s="3">
        <f>7.5-C27</f>
        <v>0</v>
      </c>
      <c r="D28" s="3">
        <f>7.5-D27</f>
        <v>0</v>
      </c>
      <c r="E28" s="3">
        <f>7.5-E27</f>
        <v>0</v>
      </c>
      <c r="F28" s="3">
        <f>7.5-F27</f>
        <v>0</v>
      </c>
      <c r="G28" s="6"/>
      <c r="H28" s="6"/>
      <c r="I28" s="3">
        <f>7.5-I27</f>
        <v>0</v>
      </c>
      <c r="J28" s="3">
        <f>7.5-J27</f>
        <v>0</v>
      </c>
      <c r="K28" s="3">
        <f>7.5-K27</f>
        <v>0</v>
      </c>
      <c r="L28" s="3">
        <f>7.5-L27</f>
        <v>0</v>
      </c>
      <c r="M28" s="3">
        <f>7.5-M27</f>
        <v>0</v>
      </c>
      <c r="N28" s="6"/>
      <c r="O28" s="6"/>
      <c r="P28" s="3">
        <f>7.5-P27</f>
        <v>0</v>
      </c>
      <c r="Q28" s="9"/>
      <c r="R28" s="3">
        <f>7.5-R27</f>
        <v>0</v>
      </c>
      <c r="S28" s="3">
        <f>7.5-S27</f>
        <v>0</v>
      </c>
      <c r="T28" s="3">
        <f>7.5-T27</f>
        <v>0</v>
      </c>
      <c r="U28" s="6"/>
      <c r="V28" s="6"/>
      <c r="W28" s="3">
        <f>7.5-W27</f>
        <v>0</v>
      </c>
      <c r="X28" s="3">
        <f>7.5-X27</f>
        <v>0</v>
      </c>
      <c r="Y28" s="3">
        <f>7.5-Y27</f>
        <v>0</v>
      </c>
      <c r="Z28" s="3">
        <f>7.5-Z27</f>
        <v>0</v>
      </c>
      <c r="AA28" s="3">
        <f>7.5-AA27</f>
        <v>0</v>
      </c>
      <c r="AB28" s="6"/>
      <c r="AC28" s="6"/>
      <c r="AD28" s="3">
        <f>7.5-AD27</f>
        <v>0</v>
      </c>
      <c r="AE28" s="3">
        <f>7.5-AE27</f>
        <v>0</v>
      </c>
      <c r="AF28" s="3">
        <f>7.5-AF27</f>
        <v>0</v>
      </c>
      <c r="AG28" s="3">
        <f>7.5-AG27</f>
        <v>0</v>
      </c>
      <c r="AH28" s="3">
        <f t="shared" ref="AH28:AH34" si="0">SUM(C28:AG28)</f>
        <v>0</v>
      </c>
    </row>
    <row r="29" spans="1:35" ht="19.5" x14ac:dyDescent="0.3">
      <c r="A29" s="36"/>
      <c r="B29" s="36"/>
      <c r="C29" s="3"/>
      <c r="D29" s="3"/>
      <c r="E29" s="3"/>
      <c r="F29" s="3"/>
      <c r="G29" s="6"/>
      <c r="H29" s="6"/>
      <c r="I29" s="3"/>
      <c r="J29" s="3"/>
      <c r="K29" s="3"/>
      <c r="L29" s="3"/>
      <c r="M29" s="3"/>
      <c r="N29" s="6"/>
      <c r="O29" s="6"/>
      <c r="P29" s="3"/>
      <c r="Q29" s="9"/>
      <c r="R29" s="3"/>
      <c r="S29" s="3"/>
      <c r="T29" s="3"/>
      <c r="U29" s="6"/>
      <c r="V29" s="6"/>
      <c r="W29" s="3"/>
      <c r="X29" s="3"/>
      <c r="Y29" s="3"/>
      <c r="Z29" s="3"/>
      <c r="AA29" s="3"/>
      <c r="AB29" s="6"/>
      <c r="AC29" s="6"/>
      <c r="AD29" s="3"/>
      <c r="AE29" s="3"/>
      <c r="AF29" s="3"/>
      <c r="AG29" s="3"/>
      <c r="AH29" s="3">
        <f t="shared" si="0"/>
        <v>0</v>
      </c>
    </row>
    <row r="30" spans="1:35" ht="19.5" x14ac:dyDescent="0.3">
      <c r="A30" s="36"/>
      <c r="B30" s="36"/>
      <c r="C30" s="3"/>
      <c r="D30" s="3"/>
      <c r="E30" s="3"/>
      <c r="F30" s="3"/>
      <c r="G30" s="6"/>
      <c r="H30" s="6"/>
      <c r="I30" s="3"/>
      <c r="J30" s="3"/>
      <c r="K30" s="3"/>
      <c r="L30" s="3"/>
      <c r="M30" s="3"/>
      <c r="N30" s="6"/>
      <c r="O30" s="6"/>
      <c r="P30" s="3"/>
      <c r="Q30" s="9"/>
      <c r="R30" s="3"/>
      <c r="S30" s="3"/>
      <c r="T30" s="3"/>
      <c r="U30" s="6"/>
      <c r="V30" s="6"/>
      <c r="W30" s="3"/>
      <c r="X30" s="3"/>
      <c r="Y30" s="3"/>
      <c r="Z30" s="3"/>
      <c r="AA30" s="3"/>
      <c r="AB30" s="6"/>
      <c r="AC30" s="6"/>
      <c r="AD30" s="3"/>
      <c r="AE30" s="3"/>
      <c r="AF30" s="3"/>
      <c r="AG30" s="3"/>
      <c r="AH30" s="3">
        <f t="shared" si="0"/>
        <v>0</v>
      </c>
    </row>
    <row r="31" spans="1:35" ht="19.5" x14ac:dyDescent="0.3">
      <c r="A31" s="36"/>
      <c r="B31" s="36"/>
      <c r="C31" s="3"/>
      <c r="D31" s="3"/>
      <c r="E31" s="3"/>
      <c r="F31" s="3"/>
      <c r="G31" s="6"/>
      <c r="H31" s="6"/>
      <c r="I31" s="3"/>
      <c r="J31" s="3"/>
      <c r="K31" s="3"/>
      <c r="L31" s="3"/>
      <c r="M31" s="3"/>
      <c r="N31" s="6"/>
      <c r="O31" s="6"/>
      <c r="P31" s="3"/>
      <c r="Q31" s="9"/>
      <c r="R31" s="3"/>
      <c r="S31" s="3"/>
      <c r="T31" s="3"/>
      <c r="U31" s="6"/>
      <c r="V31" s="6"/>
      <c r="W31" s="3"/>
      <c r="X31" s="3"/>
      <c r="Y31" s="3"/>
      <c r="Z31" s="3"/>
      <c r="AA31" s="3"/>
      <c r="AB31" s="6"/>
      <c r="AC31" s="6"/>
      <c r="AD31" s="3"/>
      <c r="AE31" s="3"/>
      <c r="AF31" s="3"/>
      <c r="AG31" s="3"/>
      <c r="AH31" s="3">
        <f t="shared" si="0"/>
        <v>0</v>
      </c>
    </row>
    <row r="32" spans="1:35" ht="19.5" x14ac:dyDescent="0.3">
      <c r="A32" s="36" t="s">
        <v>50</v>
      </c>
      <c r="B32" s="36"/>
      <c r="C32" s="3"/>
      <c r="D32" s="3"/>
      <c r="E32" s="3"/>
      <c r="F32" s="3"/>
      <c r="G32" s="6"/>
      <c r="H32" s="6"/>
      <c r="I32" s="3"/>
      <c r="J32" s="3"/>
      <c r="K32" s="3"/>
      <c r="L32" s="3"/>
      <c r="M32" s="3"/>
      <c r="N32" s="6"/>
      <c r="O32" s="6"/>
      <c r="P32" s="3"/>
      <c r="Q32" s="9"/>
      <c r="R32" s="3"/>
      <c r="S32" s="3"/>
      <c r="T32" s="3"/>
      <c r="U32" s="6"/>
      <c r="V32" s="6"/>
      <c r="W32" s="3"/>
      <c r="X32" s="3"/>
      <c r="Y32" s="3"/>
      <c r="Z32" s="3"/>
      <c r="AA32" s="3"/>
      <c r="AB32" s="6"/>
      <c r="AC32" s="6"/>
      <c r="AD32" s="3"/>
      <c r="AE32" s="3"/>
      <c r="AF32" s="3"/>
      <c r="AG32" s="3"/>
      <c r="AH32" s="3">
        <f t="shared" si="0"/>
        <v>0</v>
      </c>
    </row>
    <row r="33" spans="1:34" ht="19.5" x14ac:dyDescent="0.3">
      <c r="A33" s="36" t="s">
        <v>51</v>
      </c>
      <c r="B33" s="36"/>
      <c r="C33" s="3"/>
      <c r="D33" s="3"/>
      <c r="E33" s="3"/>
      <c r="F33" s="3"/>
      <c r="G33" s="6"/>
      <c r="H33" s="6"/>
      <c r="I33" s="3"/>
      <c r="J33" s="3"/>
      <c r="K33" s="3"/>
      <c r="L33" s="3"/>
      <c r="M33" s="3"/>
      <c r="N33" s="6"/>
      <c r="O33" s="6"/>
      <c r="P33" s="3"/>
      <c r="Q33" s="9"/>
      <c r="R33" s="3"/>
      <c r="S33" s="3"/>
      <c r="T33" s="3"/>
      <c r="U33" s="6"/>
      <c r="V33" s="6"/>
      <c r="W33" s="3"/>
      <c r="X33" s="3"/>
      <c r="Y33" s="3"/>
      <c r="Z33" s="3"/>
      <c r="AA33" s="3"/>
      <c r="AB33" s="6"/>
      <c r="AC33" s="6"/>
      <c r="AD33" s="3"/>
      <c r="AE33" s="3"/>
      <c r="AF33" s="3"/>
      <c r="AG33" s="3"/>
      <c r="AH33" s="3">
        <f t="shared" si="0"/>
        <v>0</v>
      </c>
    </row>
    <row r="34" spans="1:34" ht="19.5" x14ac:dyDescent="0.3">
      <c r="A34" s="36" t="s">
        <v>52</v>
      </c>
      <c r="B34" s="36"/>
      <c r="C34" s="3"/>
      <c r="D34" s="3"/>
      <c r="E34" s="3"/>
      <c r="F34" s="3"/>
      <c r="G34" s="6"/>
      <c r="H34" s="6"/>
      <c r="I34" s="3"/>
      <c r="J34" s="3"/>
      <c r="K34" s="3"/>
      <c r="L34" s="3"/>
      <c r="M34" s="3"/>
      <c r="N34" s="6"/>
      <c r="O34" s="6"/>
      <c r="P34" s="3"/>
      <c r="Q34" s="9"/>
      <c r="R34" s="3"/>
      <c r="S34" s="3"/>
      <c r="T34" s="3"/>
      <c r="U34" s="6"/>
      <c r="V34" s="6"/>
      <c r="W34" s="3"/>
      <c r="X34" s="3"/>
      <c r="Y34" s="3"/>
      <c r="Z34" s="3"/>
      <c r="AA34" s="3"/>
      <c r="AB34" s="6"/>
      <c r="AC34" s="6"/>
      <c r="AD34" s="3"/>
      <c r="AE34" s="3"/>
      <c r="AF34" s="3"/>
      <c r="AG34" s="3"/>
      <c r="AH34" s="3">
        <f t="shared" si="0"/>
        <v>0</v>
      </c>
    </row>
    <row r="35" spans="1:34" ht="19.5" x14ac:dyDescent="0.3">
      <c r="A35" s="12" t="s">
        <v>53</v>
      </c>
      <c r="B35" s="12"/>
      <c r="C35" s="4">
        <f>SUM(C27:C31)</f>
        <v>7.5</v>
      </c>
      <c r="D35" s="4">
        <f>SUM(D27:D31)</f>
        <v>7.5</v>
      </c>
      <c r="E35" s="4">
        <f>SUM(E27:E31)</f>
        <v>7.5</v>
      </c>
      <c r="F35" s="4">
        <f>SUM(F27:F31)</f>
        <v>7.5</v>
      </c>
      <c r="G35" s="7"/>
      <c r="H35" s="7"/>
      <c r="I35" s="4">
        <f>SUM(I27:I31)</f>
        <v>7.5</v>
      </c>
      <c r="J35" s="4">
        <f>SUM(J27:J31)</f>
        <v>7.5</v>
      </c>
      <c r="K35" s="4">
        <f>SUM(K27:K31)</f>
        <v>7.5</v>
      </c>
      <c r="L35" s="4">
        <f>SUM(L27:L31)</f>
        <v>7.5</v>
      </c>
      <c r="M35" s="4">
        <f>SUM(M27:M31)</f>
        <v>7.5</v>
      </c>
      <c r="N35" s="7"/>
      <c r="O35" s="7"/>
      <c r="P35" s="4">
        <f>SUM(P27:P31)</f>
        <v>7.5</v>
      </c>
      <c r="Q35" s="10"/>
      <c r="R35" s="4">
        <f>SUM(R27:R31)</f>
        <v>7.5</v>
      </c>
      <c r="S35" s="4">
        <f>SUM(S27:S31)</f>
        <v>7.5</v>
      </c>
      <c r="T35" s="4">
        <f>SUM(T27:T31)</f>
        <v>7.5</v>
      </c>
      <c r="U35" s="7"/>
      <c r="V35" s="7"/>
      <c r="W35" s="4">
        <f>SUM(W27:W31)</f>
        <v>7.5</v>
      </c>
      <c r="X35" s="4">
        <f>SUM(X27:X31)</f>
        <v>7.5</v>
      </c>
      <c r="Y35" s="4">
        <f>SUM(Y27:Y31)</f>
        <v>7.5</v>
      </c>
      <c r="Z35" s="4">
        <f>SUM(Z27:Z31)</f>
        <v>7.5</v>
      </c>
      <c r="AA35" s="4">
        <f>SUM(AA27:AA31)</f>
        <v>7.5</v>
      </c>
      <c r="AB35" s="7"/>
      <c r="AC35" s="7"/>
      <c r="AD35" s="4">
        <f>SUM(AD27:AD31)</f>
        <v>7.5</v>
      </c>
      <c r="AE35" s="4">
        <f>SUM(AE27:AE31)</f>
        <v>7.5</v>
      </c>
      <c r="AF35" s="4">
        <f>SUM(AF27:AF31)</f>
        <v>7.5</v>
      </c>
      <c r="AG35" s="4">
        <f>SUM(AG27:AG31)</f>
        <v>7.5</v>
      </c>
      <c r="AH35" s="4">
        <f>SUM(AH27:AH31)</f>
        <v>165</v>
      </c>
    </row>
    <row r="36" spans="1:34" ht="19.5" x14ac:dyDescent="0.3">
      <c r="A36" s="12" t="s">
        <v>54</v>
      </c>
      <c r="B36" s="12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">
        <f>SUM(AH32:AH35)</f>
        <v>165</v>
      </c>
    </row>
    <row r="39" spans="1:34" x14ac:dyDescent="0.25">
      <c r="A39" s="30" t="s">
        <v>55</v>
      </c>
      <c r="B39" s="30" t="s">
        <v>56</v>
      </c>
      <c r="W39" s="38" t="s">
        <v>57</v>
      </c>
      <c r="X39" s="39"/>
      <c r="Y39" s="39"/>
      <c r="Z39" s="39"/>
      <c r="AA39" s="40"/>
      <c r="AB39" s="38" t="s">
        <v>9</v>
      </c>
      <c r="AC39" s="39"/>
      <c r="AD39" s="39"/>
      <c r="AE39" s="40"/>
    </row>
    <row r="40" spans="1:34" x14ac:dyDescent="0.25">
      <c r="A40" s="37"/>
      <c r="B40" s="37"/>
      <c r="W40" s="41"/>
      <c r="X40" s="42"/>
      <c r="Y40" s="42"/>
      <c r="Z40" s="42"/>
      <c r="AA40" s="43"/>
      <c r="AB40" s="41"/>
      <c r="AC40" s="42"/>
      <c r="AD40" s="42"/>
      <c r="AE40" s="43"/>
    </row>
    <row r="41" spans="1:34" ht="19.5" x14ac:dyDescent="0.25">
      <c r="A41" s="31"/>
      <c r="B41" s="14">
        <v>45190</v>
      </c>
      <c r="W41" s="44"/>
      <c r="X41" s="45"/>
      <c r="Y41" s="45"/>
      <c r="Z41" s="45"/>
      <c r="AA41" s="46"/>
      <c r="AB41" s="47" t="s">
        <v>58</v>
      </c>
      <c r="AC41" s="45"/>
      <c r="AD41" s="45"/>
      <c r="AE41" s="46"/>
    </row>
  </sheetData>
  <mergeCells count="70">
    <mergeCell ref="C36:AG36"/>
    <mergeCell ref="A39:A41"/>
    <mergeCell ref="B39:B40"/>
    <mergeCell ref="W39:AA41"/>
    <mergeCell ref="AB39:AE40"/>
    <mergeCell ref="AB41:AE41"/>
    <mergeCell ref="A30:B30"/>
    <mergeCell ref="A31:B31"/>
    <mergeCell ref="A32:B32"/>
    <mergeCell ref="A33:B33"/>
    <mergeCell ref="A34:B34"/>
    <mergeCell ref="A21:B21"/>
    <mergeCell ref="A22:B22"/>
    <mergeCell ref="A27:B27"/>
    <mergeCell ref="A28:B28"/>
    <mergeCell ref="A29:B29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Jose Garcia Romero</cp:lastModifiedBy>
  <dcterms:created xsi:type="dcterms:W3CDTF">2024-04-23T15:20:43Z</dcterms:created>
  <dcterms:modified xsi:type="dcterms:W3CDTF">2024-04-23T15:45:56Z</dcterms:modified>
  <cp:category/>
</cp:coreProperties>
</file>