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Joan Farnós\Timesheets 2024\"/>
    </mc:Choice>
  </mc:AlternateContent>
  <xr:revisionPtr revIDLastSave="0" documentId="13_ncr:1_{DF624768-32B6-471F-A1B3-583273FDA9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7" i="1"/>
  <c r="AG34" i="1" s="1"/>
  <c r="J27" i="1"/>
  <c r="J34" i="1" s="1"/>
  <c r="AG26" i="1"/>
  <c r="AF26" i="1"/>
  <c r="AF27" i="1" s="1"/>
  <c r="AF34" i="1" s="1"/>
  <c r="AE26" i="1"/>
  <c r="AD26" i="1"/>
  <c r="AC26" i="1"/>
  <c r="AC27" i="1" s="1"/>
  <c r="AC34" i="1" s="1"/>
  <c r="Z26" i="1"/>
  <c r="Z27" i="1" s="1"/>
  <c r="Z34" i="1" s="1"/>
  <c r="Y26" i="1"/>
  <c r="X26" i="1"/>
  <c r="W26" i="1"/>
  <c r="W27" i="1" s="1"/>
  <c r="W34" i="1" s="1"/>
  <c r="S26" i="1"/>
  <c r="S27" i="1" s="1"/>
  <c r="S34" i="1" s="1"/>
  <c r="R26" i="1"/>
  <c r="Q26" i="1"/>
  <c r="P26" i="1"/>
  <c r="P27" i="1" s="1"/>
  <c r="P34" i="1" s="1"/>
  <c r="O26" i="1"/>
  <c r="O27" i="1" s="1"/>
  <c r="O34" i="1" s="1"/>
  <c r="L26" i="1"/>
  <c r="K26" i="1"/>
  <c r="J26" i="1"/>
  <c r="I26" i="1"/>
  <c r="I27" i="1" s="1"/>
  <c r="I34" i="1" s="1"/>
  <c r="H26" i="1"/>
  <c r="E26" i="1"/>
  <c r="D26" i="1"/>
  <c r="D27" i="1" s="1"/>
  <c r="D34" i="1" s="1"/>
  <c r="AH25" i="1"/>
  <c r="AH24" i="1"/>
  <c r="AH23" i="1"/>
  <c r="AH26" i="1" l="1"/>
  <c r="P16" i="1" s="1"/>
  <c r="X16" i="1" s="1"/>
  <c r="E27" i="1"/>
  <c r="E34" i="1" s="1"/>
  <c r="K27" i="1"/>
  <c r="K34" i="1" s="1"/>
  <c r="Q27" i="1"/>
  <c r="Q34" i="1" s="1"/>
  <c r="X27" i="1"/>
  <c r="X34" i="1" s="1"/>
  <c r="AD27" i="1"/>
  <c r="AD34" i="1" s="1"/>
  <c r="H27" i="1"/>
  <c r="H34" i="1" s="1"/>
  <c r="L27" i="1"/>
  <c r="L34" i="1" s="1"/>
  <c r="R27" i="1"/>
  <c r="R34" i="1" s="1"/>
  <c r="Y27" i="1"/>
  <c r="Y34" i="1" s="1"/>
  <c r="AE27" i="1"/>
  <c r="AE34" i="1" s="1"/>
  <c r="AH27" i="1" l="1"/>
  <c r="AH34" i="1" s="1"/>
  <c r="H16" i="1" l="1"/>
  <c r="AH35" i="1"/>
  <c r="AI23" i="1" l="1"/>
  <c r="AI26" i="1"/>
  <c r="AI25" i="1"/>
  <c r="AI24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<sst xmlns="http://schemas.openxmlformats.org/spreadsheetml/2006/main" count="83" uniqueCount="58">
  <si>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</si>
  <si>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</si>
  <si>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</si>
  <si>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</si>
  <si>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</si>
  <si>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</si>
  <si>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</si>
  <si>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</si>
  <si>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</si>
  <si>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</si>
  <si>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</si>
  <si>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</si>
  <si>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</si>
  <si>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</si>
  <si>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</si>
  <si>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</si>
  <si>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</si>
  <si>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</si>
  <si>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</si>
  <si>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</si>
  <si>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</si>
  <si>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</si>
  <si>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</si>
  <si>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</si>
  <si>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</si>
  <si>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</si>
  <si>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</si>
  <si>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</si>
  <si>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</si>
  <si>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</si>
  <si>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</si>
  <si>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</si>
  <si>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</si>
  <si>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</si>
  <si>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</si>
  <si>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</si>
  <si>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</si>
  <si>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</si>
  <si>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</si>
  <si>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</si>
  <si>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 xml:space="preserve">PE116500 ChEESE2P - WP7 Dissemination, outreach and capacity building			</t>
  </si>
  <si>
    <t>Dedicacion: 50% Estimated:78.75 h</t>
  </si>
  <si>
    <t xml:space="preserve">PE111400 KOIOS - WP1 Coordination and Management </t>
  </si>
  <si>
    <t>Dedicacion: 5% Estimated:7.88 h</t>
  </si>
  <si>
    <t>PE111400 KOIOS - WP3 Community of Practice: Use Cases for Defence Applications</t>
  </si>
  <si>
    <t>Dedicacion: 45% Estimated:70.88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</si>
  <si>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</si>
  <si>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</si>
  <si>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</si>
  <si>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</si>
  <si>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</si>
  <si>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</si>
  <si>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</si>
  <si>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</si>
  <si>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</si>
  <si>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2024-06-04</t>
  </si>
  <si>
    <t xml:space="preserve">Date and signature of staff member:	</t>
  </si>
  <si>
    <t>2024-06-10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</si>
</sst>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AO17" sqref="AO17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AH34</f>
        <v>157.5</v>
      </c>
      <c r="I16" s="38"/>
      <c r="K16" s="39" t="s">
        <v>18</v>
      </c>
      <c r="L16" s="40"/>
      <c r="M16" s="40"/>
      <c r="N16" s="40"/>
      <c r="O16" s="40"/>
      <c r="P16" s="41">
        <f>AH26</f>
        <v>157.5</v>
      </c>
      <c r="Q16" s="41"/>
      <c r="S16" s="39" t="s">
        <v>19</v>
      </c>
      <c r="T16" s="40"/>
      <c r="U16" s="40"/>
      <c r="V16" s="40"/>
      <c r="W16" s="40"/>
      <c r="X16" s="38">
        <f>(P16/7.5) *1</f>
        <v>21</v>
      </c>
      <c r="Y16" s="38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7"/>
      <c r="D21" s="34"/>
      <c r="E21" s="34"/>
      <c r="F21" s="36"/>
      <c r="G21" s="36"/>
      <c r="H21" s="34"/>
      <c r="I21" s="34"/>
      <c r="J21" s="34"/>
      <c r="K21" s="34"/>
      <c r="L21" s="34"/>
      <c r="M21" s="36"/>
      <c r="N21" s="36"/>
      <c r="O21" s="34"/>
      <c r="P21" s="34"/>
      <c r="Q21" s="34"/>
      <c r="R21" s="34"/>
      <c r="S21" s="34"/>
      <c r="T21" s="36"/>
      <c r="U21" s="36"/>
      <c r="V21" s="37"/>
      <c r="W21" s="34"/>
      <c r="X21" s="34"/>
      <c r="Y21" s="34"/>
      <c r="Z21" s="34"/>
      <c r="AA21" s="36"/>
      <c r="AB21" s="36"/>
      <c r="AC21" s="34"/>
      <c r="AD21" s="34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7"/>
      <c r="D22" s="34"/>
      <c r="E22" s="34"/>
      <c r="F22" s="36"/>
      <c r="G22" s="36"/>
      <c r="H22" s="34"/>
      <c r="I22" s="34"/>
      <c r="J22" s="34"/>
      <c r="K22" s="34"/>
      <c r="L22" s="34"/>
      <c r="M22" s="36"/>
      <c r="N22" s="36"/>
      <c r="O22" s="34"/>
      <c r="P22" s="34"/>
      <c r="Q22" s="34"/>
      <c r="R22" s="34"/>
      <c r="S22" s="34"/>
      <c r="T22" s="36"/>
      <c r="U22" s="36"/>
      <c r="V22" s="37"/>
      <c r="W22" s="34"/>
      <c r="X22" s="34"/>
      <c r="Y22" s="34"/>
      <c r="Z22" s="34"/>
      <c r="AA22" s="36"/>
      <c r="AB22" s="36"/>
      <c r="AC22" s="34"/>
      <c r="AD22" s="34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>
        <v>3.5</v>
      </c>
      <c r="E23" s="3">
        <v>3.5</v>
      </c>
      <c r="F23" s="9"/>
      <c r="G23" s="9"/>
      <c r="H23" s="3">
        <v>3.5</v>
      </c>
      <c r="I23" s="3">
        <v>3.5</v>
      </c>
      <c r="J23" s="3">
        <v>3.5</v>
      </c>
      <c r="K23" s="3">
        <v>3.5</v>
      </c>
      <c r="L23" s="3">
        <v>3.5</v>
      </c>
      <c r="M23" s="9"/>
      <c r="N23" s="9"/>
      <c r="O23" s="3">
        <v>3.5</v>
      </c>
      <c r="P23" s="3">
        <v>4.5</v>
      </c>
      <c r="Q23" s="3">
        <v>4.5</v>
      </c>
      <c r="R23" s="3">
        <v>4.5</v>
      </c>
      <c r="S23" s="3">
        <v>4.5</v>
      </c>
      <c r="T23" s="9"/>
      <c r="U23" s="9"/>
      <c r="V23" s="6"/>
      <c r="W23" s="3">
        <v>3.5</v>
      </c>
      <c r="X23" s="3">
        <v>3.5</v>
      </c>
      <c r="Y23" s="3">
        <v>3.5</v>
      </c>
      <c r="Z23" s="3">
        <v>3.5</v>
      </c>
      <c r="AA23" s="9"/>
      <c r="AB23" s="9"/>
      <c r="AC23" s="3">
        <v>3.5</v>
      </c>
      <c r="AD23" s="3">
        <v>3.5</v>
      </c>
      <c r="AE23" s="3">
        <v>3.5</v>
      </c>
      <c r="AF23" s="3">
        <v>3.5</v>
      </c>
      <c r="AG23" s="3">
        <v>4.5</v>
      </c>
      <c r="AH23" s="3">
        <f>SUM(C23:AG23)</f>
        <v>78.5</v>
      </c>
      <c r="AI23" s="13">
        <f>AH23/$AH$35</f>
        <v>0.49841269841269842</v>
      </c>
    </row>
    <row r="24" spans="1:35" ht="19.5" x14ac:dyDescent="0.3">
      <c r="A24" s="12" t="s">
        <v>42</v>
      </c>
      <c r="B24" s="12" t="s">
        <v>43</v>
      </c>
      <c r="C24" s="6"/>
      <c r="D24" s="3">
        <v>1</v>
      </c>
      <c r="E24" s="3">
        <v>1</v>
      </c>
      <c r="F24" s="9"/>
      <c r="G24" s="9"/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9"/>
      <c r="N24" s="9"/>
      <c r="O24" s="3">
        <v>1</v>
      </c>
      <c r="P24" s="3"/>
      <c r="Q24" s="3"/>
      <c r="R24" s="3"/>
      <c r="S24" s="3"/>
      <c r="T24" s="9"/>
      <c r="U24" s="9"/>
      <c r="V24" s="6"/>
      <c r="W24" s="3"/>
      <c r="X24" s="3"/>
      <c r="Y24" s="3"/>
      <c r="Z24" s="3"/>
      <c r="AA24" s="9"/>
      <c r="AB24" s="9"/>
      <c r="AC24" s="3"/>
      <c r="AD24" s="3"/>
      <c r="AE24" s="3"/>
      <c r="AF24" s="3"/>
      <c r="AG24" s="3"/>
      <c r="AH24" s="3">
        <f>SUM(C24:AG24)</f>
        <v>8</v>
      </c>
      <c r="AI24" s="13">
        <f>AH24/$AH$35</f>
        <v>5.0793650793650794E-2</v>
      </c>
    </row>
    <row r="25" spans="1:35" ht="19.5" x14ac:dyDescent="0.3">
      <c r="A25" s="12" t="s">
        <v>44</v>
      </c>
      <c r="B25" s="12" t="s">
        <v>45</v>
      </c>
      <c r="C25" s="6"/>
      <c r="D25" s="3">
        <v>3</v>
      </c>
      <c r="E25" s="3">
        <v>3</v>
      </c>
      <c r="F25" s="9"/>
      <c r="G25" s="9"/>
      <c r="H25" s="3">
        <v>3</v>
      </c>
      <c r="I25" s="3">
        <v>3</v>
      </c>
      <c r="J25" s="3">
        <v>3</v>
      </c>
      <c r="K25" s="3">
        <v>3</v>
      </c>
      <c r="L25" s="3">
        <v>3</v>
      </c>
      <c r="M25" s="9"/>
      <c r="N25" s="9"/>
      <c r="O25" s="3">
        <v>3</v>
      </c>
      <c r="P25" s="3">
        <v>3</v>
      </c>
      <c r="Q25" s="3">
        <v>3</v>
      </c>
      <c r="R25" s="3">
        <v>3</v>
      </c>
      <c r="S25" s="3">
        <v>3</v>
      </c>
      <c r="T25" s="9"/>
      <c r="U25" s="9"/>
      <c r="V25" s="6"/>
      <c r="W25" s="3">
        <v>4</v>
      </c>
      <c r="X25" s="3">
        <v>4</v>
      </c>
      <c r="Y25" s="3">
        <v>4</v>
      </c>
      <c r="Z25" s="3">
        <v>4</v>
      </c>
      <c r="AA25" s="9"/>
      <c r="AB25" s="9"/>
      <c r="AC25" s="3">
        <v>4</v>
      </c>
      <c r="AD25" s="3">
        <v>4</v>
      </c>
      <c r="AE25" s="3">
        <v>4</v>
      </c>
      <c r="AF25" s="3">
        <v>4</v>
      </c>
      <c r="AG25" s="3">
        <v>3</v>
      </c>
      <c r="AH25" s="3">
        <f>SUM(C25:AG25)</f>
        <v>71</v>
      </c>
      <c r="AI25" s="13">
        <f>AH25/$AH$35</f>
        <v>0.4507936507936508</v>
      </c>
    </row>
    <row r="26" spans="1:35" ht="19.5" x14ac:dyDescent="0.3">
      <c r="A26" s="32" t="s">
        <v>46</v>
      </c>
      <c r="B26" s="33"/>
      <c r="C26" s="7"/>
      <c r="D26" s="4">
        <f>SUM(D23:D25)</f>
        <v>7.5</v>
      </c>
      <c r="E26" s="4">
        <f>SUM(E23:E25)</f>
        <v>7.5</v>
      </c>
      <c r="F26" s="10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0"/>
      <c r="N26" s="10"/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10"/>
      <c r="U26" s="10"/>
      <c r="V26" s="7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0"/>
      <c r="AB26" s="10"/>
      <c r="AC26" s="4">
        <f t="shared" ref="AC26:AH26" si="0">SUM(AC23:AC25)</f>
        <v>7.5</v>
      </c>
      <c r="AD26" s="4">
        <f t="shared" si="0"/>
        <v>7.5</v>
      </c>
      <c r="AE26" s="4">
        <f t="shared" si="0"/>
        <v>7.5</v>
      </c>
      <c r="AF26" s="4">
        <f t="shared" si="0"/>
        <v>7.5</v>
      </c>
      <c r="AG26" s="4">
        <f t="shared" si="0"/>
        <v>7.5</v>
      </c>
      <c r="AH26" s="4">
        <f t="shared" si="0"/>
        <v>157.5</v>
      </c>
      <c r="AI26" s="11">
        <f>AH26/$AH$35</f>
        <v>1</v>
      </c>
    </row>
    <row r="27" spans="1:35" ht="19.5" x14ac:dyDescent="0.3">
      <c r="A27" s="29" t="s">
        <v>47</v>
      </c>
      <c r="B27" s="29"/>
      <c r="C27" s="6"/>
      <c r="D27" s="3">
        <f>7.5-D26</f>
        <v>0</v>
      </c>
      <c r="E27" s="3">
        <f>7.5-E26</f>
        <v>0</v>
      </c>
      <c r="F27" s="9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9"/>
      <c r="N27" s="9"/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9"/>
      <c r="U27" s="9"/>
      <c r="V27" s="6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9"/>
      <c r="AB27" s="9"/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1">SUM(C27:AG27)</f>
        <v>0</v>
      </c>
    </row>
    <row r="28" spans="1:35" ht="19.5" x14ac:dyDescent="0.3">
      <c r="A28" s="29"/>
      <c r="B28" s="29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29"/>
      <c r="B29" s="29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29"/>
      <c r="B30" s="29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29" t="s">
        <v>48</v>
      </c>
      <c r="B31" s="29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29" t="s">
        <v>49</v>
      </c>
      <c r="B32" s="29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29" t="s">
        <v>50</v>
      </c>
      <c r="B33" s="29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0"/>
      <c r="U34" s="10"/>
      <c r="V34" s="7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 t="shared" ref="AC34:AH34" si="2">SUM(AC26:AC30)</f>
        <v>7.5</v>
      </c>
      <c r="AD34" s="4">
        <f t="shared" si="2"/>
        <v>7.5</v>
      </c>
      <c r="AE34" s="4">
        <f t="shared" si="2"/>
        <v>7.5</v>
      </c>
      <c r="AF34" s="4">
        <f t="shared" si="2"/>
        <v>7.5</v>
      </c>
      <c r="AG34" s="4">
        <f t="shared" si="2"/>
        <v>7.5</v>
      </c>
      <c r="AH34" s="4">
        <f t="shared" si="2"/>
        <v>157.5</v>
      </c>
    </row>
    <row r="35" spans="1:34" ht="19.5" x14ac:dyDescent="0.3">
      <c r="A35" s="12" t="s">
        <v>52</v>
      </c>
      <c r="B35" s="1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2">
        <f>SUM(AH31:AH34)</f>
        <v>157.5</v>
      </c>
    </row>
    <row r="38" spans="1:34" x14ac:dyDescent="0.25">
      <c r="A38" s="16" t="s">
        <v>53</v>
      </c>
      <c r="B38" s="16" t="s">
        <v>54</v>
      </c>
      <c r="W38" s="19" t="s">
        <v>56</v>
      </c>
      <c r="X38" s="20"/>
      <c r="Y38" s="20"/>
      <c r="Z38" s="20"/>
      <c r="AA38" s="21"/>
      <c r="AB38" s="19" t="s">
        <v>9</v>
      </c>
      <c r="AC38" s="20"/>
      <c r="AD38" s="20"/>
      <c r="AE38" s="21"/>
    </row>
    <row r="39" spans="1:34" x14ac:dyDescent="0.25">
      <c r="A39" s="17"/>
      <c r="B39" s="17"/>
      <c r="W39" s="22"/>
      <c r="X39" s="23"/>
      <c r="Y39" s="23"/>
      <c r="Z39" s="23"/>
      <c r="AA39" s="24"/>
      <c r="AB39" s="22"/>
      <c r="AC39" s="23"/>
      <c r="AD39" s="23"/>
      <c r="AE39" s="24"/>
    </row>
    <row r="40" spans="1:34" ht="19.5" x14ac:dyDescent="0.25">
      <c r="A40" s="18"/>
      <c r="B40" s="14" t="s">
        <v>55</v>
      </c>
      <c r="W40" s="25"/>
      <c r="X40" s="26"/>
      <c r="Y40" s="26"/>
      <c r="Z40" s="26"/>
      <c r="AA40" s="27"/>
      <c r="AB40" s="28" t="s">
        <v>57</v>
      </c>
      <c r="AC40" s="26"/>
      <c r="AD40" s="26"/>
      <c r="AE40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2024-06-18T14:53:40Z</dcterms:created>
  <dcterms:modified xsi:type="dcterms:W3CDTF">2024-12-12T10:50:47Z</dcterms:modified>
  <cp:category/>
</cp:coreProperties>
</file>