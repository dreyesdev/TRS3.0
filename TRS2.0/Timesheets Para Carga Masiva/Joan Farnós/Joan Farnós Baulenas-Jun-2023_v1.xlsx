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AFEC49D0-6A66-4430-B726-7DCC837909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" l="1"/>
  <c r="V23" i="1"/>
  <c r="V27" i="1" s="1"/>
  <c r="U23" i="1"/>
  <c r="R23" i="1"/>
  <c r="Q23" i="1"/>
  <c r="P23" i="1"/>
  <c r="O23" i="1"/>
  <c r="N23" i="1"/>
  <c r="AG34" i="1"/>
  <c r="AG33" i="1"/>
  <c r="AG32" i="1"/>
  <c r="AG31" i="1"/>
  <c r="AG30" i="1"/>
  <c r="AG29" i="1"/>
  <c r="AD28" i="1"/>
  <c r="AF27" i="1"/>
  <c r="AE27" i="1"/>
  <c r="AD27" i="1"/>
  <c r="AD35" i="1" s="1"/>
  <c r="AC27" i="1"/>
  <c r="AB27" i="1"/>
  <c r="Y27" i="1"/>
  <c r="Y28" i="1" s="1"/>
  <c r="Y35" i="1" s="1"/>
  <c r="X27" i="1"/>
  <c r="U27" i="1"/>
  <c r="U28" i="1" s="1"/>
  <c r="U35" i="1" s="1"/>
  <c r="R27" i="1"/>
  <c r="Q27" i="1"/>
  <c r="P27" i="1"/>
  <c r="P28" i="1" s="1"/>
  <c r="P35" i="1" s="1"/>
  <c r="O27" i="1"/>
  <c r="N27" i="1"/>
  <c r="K27" i="1"/>
  <c r="K28" i="1" s="1"/>
  <c r="J27" i="1"/>
  <c r="J28" i="1" s="1"/>
  <c r="J35" i="1" s="1"/>
  <c r="I27" i="1"/>
  <c r="H27" i="1"/>
  <c r="H28" i="1" s="1"/>
  <c r="D27" i="1"/>
  <c r="D28" i="1" s="1"/>
  <c r="C27" i="1"/>
  <c r="C28" i="1" s="1"/>
  <c r="C35" i="1" s="1"/>
  <c r="AG26" i="1"/>
  <c r="AG25" i="1"/>
  <c r="AG24" i="1"/>
  <c r="I28" i="1" l="1"/>
  <c r="I35" i="1" s="1"/>
  <c r="AE28" i="1"/>
  <c r="AE35" i="1" s="1"/>
  <c r="D35" i="1"/>
  <c r="K35" i="1"/>
  <c r="H35" i="1"/>
  <c r="AC28" i="1"/>
  <c r="AC35" i="1" s="1"/>
  <c r="AF28" i="1"/>
  <c r="AF35" i="1" s="1"/>
  <c r="AB28" i="1"/>
  <c r="AB35" i="1" s="1"/>
  <c r="V28" i="1"/>
  <c r="V35" i="1"/>
  <c r="W28" i="1"/>
  <c r="W35" i="1"/>
  <c r="X28" i="1"/>
  <c r="X35" i="1" s="1"/>
  <c r="AG23" i="1"/>
  <c r="AG27" i="1" s="1"/>
  <c r="R35" i="1"/>
  <c r="Q28" i="1"/>
  <c r="Q35" i="1" s="1"/>
  <c r="N28" i="1"/>
  <c r="R28" i="1"/>
  <c r="O28" i="1"/>
  <c r="O35" i="1" s="1"/>
  <c r="AG28" i="1" l="1"/>
  <c r="AG35" i="1" s="1"/>
  <c r="N35" i="1"/>
  <c r="P16" i="1"/>
  <c r="X16" i="1" s="1"/>
  <c r="AG36" i="1" l="1"/>
  <c r="H16" i="1"/>
  <c r="AH26" i="1" l="1"/>
  <c r="AH25" i="1"/>
  <c r="AH24" i="1"/>
  <c r="AH23" i="1"/>
  <c r="AH27" i="1"/>
</calcChain>
</file>

<file path=xl/sharedStrings.xml><?xml version="1.0" encoding="utf-8"?>
<sst xmlns="http://schemas.openxmlformats.org/spreadsheetml/2006/main" count="94" uniqueCount="70">
  <si>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</si>
  <si>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</si>
  <si>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</si>
  <si>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</si>
  <si>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</si>
  <si>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</si>
  <si>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</si>
  <si>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</si>
  <si>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</si>
  <si>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</si>
  <si>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</si>
  <si>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</si>
  <si>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</si>
  <si>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</si>
  <si>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</si>
  <si>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</si>
  <si>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</si>
  <si>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</si>
  <si>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</si>
  <si>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</si>
  <si>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</si>
  <si>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</si>
  <si>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</si>
  <si>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</si>
  <si>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</si>
  <si>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</si>
  <si>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</si>
  <si>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</si>
  <si>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</si>
  <si>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</si>
  <si>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</si>
  <si>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</si>
  <si>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</si>
  <si>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</si>
  <si>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</si>
  <si>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</si>
  <si>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</si>
  <si>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</si>
  <si>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</si>
  <si>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40% Estimated:63 h</t>
  </si>
  <si>
    <t>PE097500 AISee RAISE - WP6 Outreach and Services</t>
  </si>
  <si>
    <t>Dedicacion: 15% Estimated:23.625 h</t>
  </si>
  <si>
    <t>PE111400 KOIOS - WP3 Community of Practice: Use Cases for Defence Applications</t>
  </si>
  <si>
    <t>Dedicacion: 35% Estimated:55.125 h</t>
  </si>
  <si>
    <t xml:space="preserve">D-000600 RESULTADOS PROYECTOS CASE - TRAVELS </t>
  </si>
  <si>
    <t>Dedicacion: 10% Estimated:15.75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</si>
  <si>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</si>
  <si>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</si>
  <si>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</si>
  <si>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</si>
  <si>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</si>
  <si>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</si>
  <si>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</si>
  <si>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</si>
  <si>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2023-07-12</t>
  </si>
  <si>
    <t xml:space="preserve">Date and signature of staff member:	</t>
  </si>
  <si>
    <t>2023-07-11</t>
  </si>
  <si>
    <t>TRAVELS</t>
  </si>
  <si>
    <t>Liq Id</t>
  </si>
  <si>
    <t>Project</t>
  </si>
  <si>
    <t>Dedication</t>
  </si>
  <si>
    <t>StartDate</t>
  </si>
  <si>
    <t>EndDate</t>
  </si>
  <si>
    <t>0777/23</t>
  </si>
  <si>
    <t>2023-06-28</t>
  </si>
  <si>
    <t>2023-06-29</t>
  </si>
  <si>
    <t>D-000600 RESULTADOS PROYECTOS CASE</t>
  </si>
  <si>
    <t>Project Name: COEC</t>
  </si>
  <si>
    <t>Total Hours worked on project 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</si>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</sst>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5"/>
  <sheetViews>
    <sheetView tabSelected="1" topLeftCell="A5" zoomScale="55" zoomScaleNormal="55" workbookViewId="0">
      <selection activeCell="C25" sqref="C25:AF25"/>
    </sheetView>
  </sheetViews>
  <sheetFormatPr baseColWidth="10" defaultColWidth="8.88671875" defaultRowHeight="14.4" x14ac:dyDescent="0.3"/>
  <cols>
    <col min="1" max="2" width="40" customWidth="1"/>
    <col min="34" max="34" width="13.44140625" customWidth="1"/>
  </cols>
  <sheetData>
    <row r="2" spans="1:33" ht="19.8" x14ac:dyDescent="0.4">
      <c r="C2" s="20" t="s">
        <v>1</v>
      </c>
      <c r="D2" s="20"/>
      <c r="E2" s="20"/>
    </row>
    <row r="4" spans="1:33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8" x14ac:dyDescent="0.4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8" x14ac:dyDescent="0.4">
      <c r="F16" s="27" t="s">
        <v>17</v>
      </c>
      <c r="G16" s="19"/>
      <c r="H16" s="28">
        <f>AG35</f>
        <v>157.5</v>
      </c>
      <c r="I16" s="28"/>
      <c r="K16" s="27" t="s">
        <v>18</v>
      </c>
      <c r="L16" s="19"/>
      <c r="M16" s="19"/>
      <c r="N16" s="19"/>
      <c r="O16" s="19"/>
      <c r="P16" s="28">
        <f>AG27</f>
        <v>142.5</v>
      </c>
      <c r="Q16" s="28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4" ht="19.8" x14ac:dyDescent="0.4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11" t="s">
        <v>32</v>
      </c>
      <c r="AE19" s="11" t="s">
        <v>20</v>
      </c>
      <c r="AF19" s="2" t="s">
        <v>22</v>
      </c>
      <c r="AG19" s="32" t="s">
        <v>36</v>
      </c>
      <c r="AH19" s="33" t="s">
        <v>37</v>
      </c>
    </row>
    <row r="20" spans="1:34" ht="19.8" x14ac:dyDescent="0.4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11">
        <v>28</v>
      </c>
      <c r="AE20" s="11">
        <v>29</v>
      </c>
      <c r="AF20" s="2">
        <v>30</v>
      </c>
      <c r="AG20" s="32"/>
      <c r="AH20" s="34"/>
    </row>
    <row r="21" spans="1:34" ht="19.8" x14ac:dyDescent="0.4">
      <c r="A21" s="20" t="s">
        <v>67</v>
      </c>
      <c r="B21" s="20"/>
      <c r="C21" s="29"/>
      <c r="D21" s="29"/>
      <c r="E21" s="30"/>
      <c r="F21" s="30"/>
      <c r="G21" s="31"/>
      <c r="H21" s="29"/>
      <c r="I21" s="29"/>
      <c r="J21" s="29"/>
      <c r="K21" s="29"/>
      <c r="L21" s="30"/>
      <c r="M21" s="30"/>
      <c r="N21" s="29"/>
      <c r="O21" s="29"/>
      <c r="P21" s="29"/>
      <c r="Q21" s="29"/>
      <c r="R21" s="29"/>
      <c r="S21" s="30"/>
      <c r="T21" s="30"/>
      <c r="U21" s="29"/>
      <c r="V21" s="29"/>
      <c r="W21" s="29"/>
      <c r="X21" s="29"/>
      <c r="Y21" s="29"/>
      <c r="Z21" s="31"/>
      <c r="AA21" s="30"/>
      <c r="AB21" s="29"/>
      <c r="AC21" s="29"/>
      <c r="AD21" s="37"/>
      <c r="AE21" s="37"/>
      <c r="AF21" s="29"/>
      <c r="AG21" s="29"/>
      <c r="AH21" s="35"/>
    </row>
    <row r="22" spans="1:34" ht="19.8" x14ac:dyDescent="0.4">
      <c r="A22" s="36" t="s">
        <v>69</v>
      </c>
      <c r="B22" s="36"/>
      <c r="C22" s="29"/>
      <c r="D22" s="29"/>
      <c r="E22" s="30"/>
      <c r="F22" s="30"/>
      <c r="G22" s="31"/>
      <c r="H22" s="29"/>
      <c r="I22" s="29"/>
      <c r="J22" s="29"/>
      <c r="K22" s="29"/>
      <c r="L22" s="30"/>
      <c r="M22" s="30"/>
      <c r="N22" s="29"/>
      <c r="O22" s="29"/>
      <c r="P22" s="29"/>
      <c r="Q22" s="29"/>
      <c r="R22" s="29"/>
      <c r="S22" s="30"/>
      <c r="T22" s="30"/>
      <c r="U22" s="29"/>
      <c r="V22" s="29"/>
      <c r="W22" s="29"/>
      <c r="X22" s="29"/>
      <c r="Y22" s="29"/>
      <c r="Z22" s="31"/>
      <c r="AA22" s="30"/>
      <c r="AB22" s="29"/>
      <c r="AC22" s="29"/>
      <c r="AD22" s="37"/>
      <c r="AE22" s="37"/>
      <c r="AF22" s="29"/>
      <c r="AG22" s="29"/>
      <c r="AH22" s="35"/>
    </row>
    <row r="23" spans="1:34" ht="19.8" x14ac:dyDescent="0.4">
      <c r="A23" s="14" t="s">
        <v>38</v>
      </c>
      <c r="B23" s="14" t="s">
        <v>39</v>
      </c>
      <c r="C23" s="3"/>
      <c r="D23" s="3"/>
      <c r="E23" s="6"/>
      <c r="F23" s="6"/>
      <c r="G23" s="9"/>
      <c r="H23" s="3"/>
      <c r="I23" s="3"/>
      <c r="J23" s="3"/>
      <c r="K23" s="3"/>
      <c r="L23" s="6"/>
      <c r="M23" s="6"/>
      <c r="N23" s="3">
        <f>7.5-N22</f>
        <v>7.5</v>
      </c>
      <c r="O23" s="3">
        <f>7.5-O22</f>
        <v>7.5</v>
      </c>
      <c r="P23" s="3">
        <f>7.5-P22</f>
        <v>7.5</v>
      </c>
      <c r="Q23" s="3">
        <f>7.5-Q22</f>
        <v>7.5</v>
      </c>
      <c r="R23" s="3">
        <f>7.5-R22</f>
        <v>7.5</v>
      </c>
      <c r="S23" s="6"/>
      <c r="T23" s="6"/>
      <c r="U23" s="3">
        <f>7.5-U22</f>
        <v>7.5</v>
      </c>
      <c r="V23" s="3">
        <f>7.5-V22</f>
        <v>7.5</v>
      </c>
      <c r="W23" s="3">
        <v>7.5</v>
      </c>
      <c r="X23" s="3">
        <v>3</v>
      </c>
      <c r="Y23" s="3"/>
      <c r="Z23" s="9"/>
      <c r="AA23" s="6"/>
      <c r="AB23" s="3"/>
      <c r="AC23" s="3"/>
      <c r="AD23" s="12"/>
      <c r="AE23" s="12"/>
      <c r="AF23" s="3"/>
      <c r="AG23" s="3">
        <f>SUM(C23:AF23)</f>
        <v>63</v>
      </c>
      <c r="AH23" s="16">
        <f>AG23/$AG$36</f>
        <v>0.4</v>
      </c>
    </row>
    <row r="24" spans="1:34" ht="19.8" x14ac:dyDescent="0.4">
      <c r="A24" s="14" t="s">
        <v>40</v>
      </c>
      <c r="B24" s="14" t="s">
        <v>41</v>
      </c>
      <c r="C24" s="3"/>
      <c r="D24" s="3"/>
      <c r="E24" s="6"/>
      <c r="F24" s="6"/>
      <c r="G24" s="9"/>
      <c r="H24" s="3"/>
      <c r="I24" s="3"/>
      <c r="J24" s="3"/>
      <c r="K24" s="3"/>
      <c r="L24" s="6"/>
      <c r="M24" s="6"/>
      <c r="N24" s="3"/>
      <c r="O24" s="3"/>
      <c r="P24" s="3"/>
      <c r="Q24" s="3"/>
      <c r="R24" s="3"/>
      <c r="S24" s="6"/>
      <c r="T24" s="6"/>
      <c r="U24" s="3"/>
      <c r="V24" s="3"/>
      <c r="W24" s="3"/>
      <c r="X24" s="3">
        <v>4.5</v>
      </c>
      <c r="Y24" s="3">
        <v>7.5</v>
      </c>
      <c r="Z24" s="9"/>
      <c r="AA24" s="6"/>
      <c r="AB24" s="3">
        <v>7.5</v>
      </c>
      <c r="AC24" s="3">
        <v>4.5</v>
      </c>
      <c r="AD24" s="12"/>
      <c r="AE24" s="12"/>
      <c r="AF24" s="3"/>
      <c r="AG24" s="3">
        <f>SUM(C24:AF24)</f>
        <v>24</v>
      </c>
      <c r="AH24" s="16">
        <f>AG24/$AG$36</f>
        <v>0.15238095238095239</v>
      </c>
    </row>
    <row r="25" spans="1:34" ht="19.8" x14ac:dyDescent="0.4">
      <c r="A25" s="14" t="s">
        <v>42</v>
      </c>
      <c r="B25" s="14" t="s">
        <v>43</v>
      </c>
      <c r="C25" s="3">
        <v>7.5</v>
      </c>
      <c r="D25" s="3">
        <v>7.5</v>
      </c>
      <c r="E25" s="6"/>
      <c r="F25" s="6"/>
      <c r="G25" s="9"/>
      <c r="H25" s="3">
        <v>7.5</v>
      </c>
      <c r="I25" s="3">
        <v>7.5</v>
      </c>
      <c r="J25" s="3">
        <v>7.5</v>
      </c>
      <c r="K25" s="3">
        <v>7.5</v>
      </c>
      <c r="L25" s="6"/>
      <c r="M25" s="6"/>
      <c r="N25" s="3"/>
      <c r="O25" s="3"/>
      <c r="P25" s="3"/>
      <c r="Q25" s="3"/>
      <c r="R25" s="3"/>
      <c r="S25" s="6"/>
      <c r="T25" s="6"/>
      <c r="U25" s="3"/>
      <c r="V25" s="3"/>
      <c r="W25" s="3"/>
      <c r="X25" s="3"/>
      <c r="Y25" s="3"/>
      <c r="Z25" s="9"/>
      <c r="AA25" s="6"/>
      <c r="AB25" s="3"/>
      <c r="AC25" s="3">
        <v>3</v>
      </c>
      <c r="AD25" s="12"/>
      <c r="AE25" s="12"/>
      <c r="AF25" s="3">
        <v>7.5</v>
      </c>
      <c r="AG25" s="3">
        <f>SUM(C25:AF25)</f>
        <v>55.5</v>
      </c>
      <c r="AH25" s="16">
        <f>AG25/$AG$36</f>
        <v>0.35238095238095241</v>
      </c>
    </row>
    <row r="26" spans="1:34" ht="19.8" x14ac:dyDescent="0.4">
      <c r="A26" s="14" t="s">
        <v>44</v>
      </c>
      <c r="B26" s="14" t="s">
        <v>45</v>
      </c>
      <c r="C26" s="3"/>
      <c r="D26" s="3"/>
      <c r="E26" s="6"/>
      <c r="F26" s="6"/>
      <c r="G26" s="9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9"/>
      <c r="AA26" s="6"/>
      <c r="AB26" s="3"/>
      <c r="AC26" s="3"/>
      <c r="AD26" s="12"/>
      <c r="AE26" s="12"/>
      <c r="AF26" s="3"/>
      <c r="AG26" s="3">
        <f>SUM(C26:AF26)</f>
        <v>0</v>
      </c>
      <c r="AH26" s="16">
        <f>AG26/$AG$36</f>
        <v>0</v>
      </c>
    </row>
    <row r="27" spans="1:34" ht="19.8" x14ac:dyDescent="0.4">
      <c r="A27" s="38" t="s">
        <v>68</v>
      </c>
      <c r="B27" s="39"/>
      <c r="C27" s="4">
        <f>SUM(C23:C26)</f>
        <v>7.5</v>
      </c>
      <c r="D27" s="4">
        <f>SUM(D23:D26)</f>
        <v>7.5</v>
      </c>
      <c r="E27" s="7"/>
      <c r="F27" s="7"/>
      <c r="G27" s="10"/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7"/>
      <c r="M27" s="7"/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4">
        <f>SUM(R23:R26)</f>
        <v>7.5</v>
      </c>
      <c r="S27" s="7"/>
      <c r="T27" s="7"/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4">
        <f>SUM(Y23:Y26)</f>
        <v>7.5</v>
      </c>
      <c r="Z27" s="10"/>
      <c r="AA27" s="7"/>
      <c r="AB27" s="4">
        <f t="shared" ref="AB27:AG27" si="0">SUM(AB23:AB26)</f>
        <v>7.5</v>
      </c>
      <c r="AC27" s="4">
        <f t="shared" si="0"/>
        <v>7.5</v>
      </c>
      <c r="AD27" s="13">
        <f t="shared" si="0"/>
        <v>0</v>
      </c>
      <c r="AE27" s="13">
        <f t="shared" si="0"/>
        <v>0</v>
      </c>
      <c r="AF27" s="4">
        <f t="shared" si="0"/>
        <v>7.5</v>
      </c>
      <c r="AG27" s="4">
        <f t="shared" si="0"/>
        <v>142.5</v>
      </c>
      <c r="AH27" s="17">
        <f>AG27/$AG$36</f>
        <v>0.90476190476190477</v>
      </c>
    </row>
    <row r="28" spans="1:34" ht="19.8" x14ac:dyDescent="0.4">
      <c r="A28" s="40" t="s">
        <v>46</v>
      </c>
      <c r="B28" s="40"/>
      <c r="C28" s="3">
        <f>7.5-C27</f>
        <v>0</v>
      </c>
      <c r="D28" s="3">
        <f>7.5-D27</f>
        <v>0</v>
      </c>
      <c r="E28" s="6"/>
      <c r="F28" s="6"/>
      <c r="G28" s="9"/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6"/>
      <c r="M28" s="6"/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3">
        <f>7.5-R27</f>
        <v>0</v>
      </c>
      <c r="S28" s="6"/>
      <c r="T28" s="6"/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3">
        <f>7.5-Y27</f>
        <v>0</v>
      </c>
      <c r="Z28" s="9"/>
      <c r="AA28" s="6"/>
      <c r="AB28" s="3">
        <f>7.5-AB27</f>
        <v>0</v>
      </c>
      <c r="AC28" s="3">
        <f>7.5-AC27</f>
        <v>0</v>
      </c>
      <c r="AD28" s="12">
        <f>7.5-AD27</f>
        <v>7.5</v>
      </c>
      <c r="AE28" s="12">
        <f>7.5-AE27</f>
        <v>7.5</v>
      </c>
      <c r="AF28" s="3">
        <f>7.5-AF27</f>
        <v>0</v>
      </c>
      <c r="AG28" s="3">
        <f t="shared" ref="AG28:AG34" si="1">SUM(C28:AF28)</f>
        <v>15</v>
      </c>
    </row>
    <row r="29" spans="1:34" ht="19.8" x14ac:dyDescent="0.4">
      <c r="A29" s="40"/>
      <c r="B29" s="40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12"/>
      <c r="AE29" s="12"/>
      <c r="AF29" s="3"/>
      <c r="AG29" s="3">
        <f t="shared" si="1"/>
        <v>0</v>
      </c>
    </row>
    <row r="30" spans="1:34" ht="19.8" x14ac:dyDescent="0.4">
      <c r="A30" s="40"/>
      <c r="B30" s="40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12"/>
      <c r="AE30" s="12"/>
      <c r="AF30" s="3"/>
      <c r="AG30" s="3">
        <f t="shared" si="1"/>
        <v>0</v>
      </c>
    </row>
    <row r="31" spans="1:34" ht="19.8" x14ac:dyDescent="0.4">
      <c r="A31" s="40"/>
      <c r="B31" s="40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12"/>
      <c r="AE31" s="12"/>
      <c r="AF31" s="3"/>
      <c r="AG31" s="3">
        <f t="shared" si="1"/>
        <v>0</v>
      </c>
    </row>
    <row r="32" spans="1:34" ht="19.8" x14ac:dyDescent="0.4">
      <c r="A32" s="40" t="s">
        <v>47</v>
      </c>
      <c r="B32" s="40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12"/>
      <c r="AE32" s="12"/>
      <c r="AF32" s="3"/>
      <c r="AG32" s="3">
        <f t="shared" si="1"/>
        <v>0</v>
      </c>
    </row>
    <row r="33" spans="1:33" ht="19.8" x14ac:dyDescent="0.4">
      <c r="A33" s="40" t="s">
        <v>48</v>
      </c>
      <c r="B33" s="40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12"/>
      <c r="AE33" s="12"/>
      <c r="AF33" s="3"/>
      <c r="AG33" s="3">
        <f t="shared" si="1"/>
        <v>0</v>
      </c>
    </row>
    <row r="34" spans="1:33" ht="19.8" x14ac:dyDescent="0.4">
      <c r="A34" s="40" t="s">
        <v>49</v>
      </c>
      <c r="B34" s="40"/>
      <c r="C34" s="3"/>
      <c r="D34" s="3"/>
      <c r="E34" s="6"/>
      <c r="F34" s="6"/>
      <c r="G34" s="9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9"/>
      <c r="AA34" s="6"/>
      <c r="AB34" s="3"/>
      <c r="AC34" s="3"/>
      <c r="AD34" s="12"/>
      <c r="AE34" s="12"/>
      <c r="AF34" s="3"/>
      <c r="AG34" s="3">
        <f t="shared" si="1"/>
        <v>0</v>
      </c>
    </row>
    <row r="35" spans="1:33" ht="19.8" x14ac:dyDescent="0.4">
      <c r="A35" s="14" t="s">
        <v>50</v>
      </c>
      <c r="B35" s="14"/>
      <c r="C35" s="4">
        <f>SUM(C27:C31)</f>
        <v>7.5</v>
      </c>
      <c r="D35" s="4">
        <f>SUM(D27:D31)</f>
        <v>7.5</v>
      </c>
      <c r="E35" s="7"/>
      <c r="F35" s="7"/>
      <c r="G35" s="10"/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7"/>
      <c r="M35" s="7"/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4">
        <f>SUM(R27:R31)</f>
        <v>7.5</v>
      </c>
      <c r="S35" s="7"/>
      <c r="T35" s="7"/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4">
        <f>SUM(Y27:Y31)</f>
        <v>7.5</v>
      </c>
      <c r="Z35" s="10"/>
      <c r="AA35" s="7"/>
      <c r="AB35" s="4">
        <f t="shared" ref="AB35:AG35" si="2">SUM(AB27:AB31)</f>
        <v>7.5</v>
      </c>
      <c r="AC35" s="4">
        <f t="shared" si="2"/>
        <v>7.5</v>
      </c>
      <c r="AD35" s="13">
        <f t="shared" si="2"/>
        <v>7.5</v>
      </c>
      <c r="AE35" s="13">
        <f t="shared" si="2"/>
        <v>7.5</v>
      </c>
      <c r="AF35" s="4">
        <f t="shared" si="2"/>
        <v>7.5</v>
      </c>
      <c r="AG35" s="4">
        <f t="shared" si="2"/>
        <v>157.5</v>
      </c>
    </row>
    <row r="36" spans="1:33" ht="19.8" x14ac:dyDescent="0.4">
      <c r="A36" s="14" t="s">
        <v>51</v>
      </c>
      <c r="B36" s="14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2">
        <f>SUM(AG32:AG35)</f>
        <v>157.5</v>
      </c>
    </row>
    <row r="39" spans="1:33" x14ac:dyDescent="0.3">
      <c r="A39" s="33" t="s">
        <v>52</v>
      </c>
      <c r="B39" s="33" t="s">
        <v>53</v>
      </c>
      <c r="W39" s="44" t="s">
        <v>55</v>
      </c>
      <c r="X39" s="45"/>
      <c r="Y39" s="45"/>
      <c r="Z39" s="45"/>
      <c r="AA39" s="46"/>
      <c r="AB39" s="44" t="s">
        <v>9</v>
      </c>
      <c r="AC39" s="45"/>
      <c r="AD39" s="45"/>
      <c r="AE39" s="46"/>
    </row>
    <row r="40" spans="1:33" x14ac:dyDescent="0.3">
      <c r="A40" s="43"/>
      <c r="B40" s="43"/>
      <c r="W40" s="47"/>
      <c r="X40" s="48"/>
      <c r="Y40" s="48"/>
      <c r="Z40" s="48"/>
      <c r="AA40" s="49"/>
      <c r="AB40" s="47"/>
      <c r="AC40" s="48"/>
      <c r="AD40" s="48"/>
      <c r="AE40" s="49"/>
    </row>
    <row r="41" spans="1:33" ht="19.8" x14ac:dyDescent="0.3">
      <c r="A41" s="34"/>
      <c r="B41" s="15" t="s">
        <v>54</v>
      </c>
      <c r="W41" s="50"/>
      <c r="X41" s="51"/>
      <c r="Y41" s="51"/>
      <c r="Z41" s="51"/>
      <c r="AA41" s="52"/>
      <c r="AB41" s="53" t="s">
        <v>56</v>
      </c>
      <c r="AC41" s="51"/>
      <c r="AD41" s="51"/>
      <c r="AE41" s="52"/>
    </row>
    <row r="43" spans="1:33" ht="19.8" x14ac:dyDescent="0.3">
      <c r="A43" s="41" t="s">
        <v>57</v>
      </c>
      <c r="B43" s="42"/>
    </row>
    <row r="44" spans="1:33" ht="19.8" x14ac:dyDescent="0.4">
      <c r="A44" s="2" t="s">
        <v>58</v>
      </c>
      <c r="B44" s="2" t="s">
        <v>59</v>
      </c>
      <c r="C44" s="2" t="s">
        <v>60</v>
      </c>
      <c r="D44" s="2" t="s">
        <v>61</v>
      </c>
      <c r="E44" s="2" t="s">
        <v>62</v>
      </c>
    </row>
    <row r="45" spans="1:33" x14ac:dyDescent="0.3">
      <c r="A45" t="s">
        <v>63</v>
      </c>
      <c r="B45" t="s">
        <v>66</v>
      </c>
      <c r="C45">
        <v>100</v>
      </c>
      <c r="D45" t="s">
        <v>64</v>
      </c>
      <c r="E45" t="s">
        <v>65</v>
      </c>
    </row>
  </sheetData>
  <mergeCells count="70">
    <mergeCell ref="A43:B43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2024-02-12T11:27:02Z</dcterms:created>
  <dcterms:modified xsi:type="dcterms:W3CDTF">2024-06-18T15:33:52Z</dcterms:modified>
  <cp:category/>
</cp:coreProperties>
</file>