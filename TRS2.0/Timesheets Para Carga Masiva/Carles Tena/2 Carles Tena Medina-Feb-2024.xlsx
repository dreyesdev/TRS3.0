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Carles Tena\2024- Carles Tema\"/>
    </mc:Choice>
  </mc:AlternateContent>
  <xr:revisionPtr revIDLastSave="0" documentId="13_ncr:1_{A22FD7C4-8B88-45FD-A201-B05898BB0EB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3" i="1" l="1"/>
  <c r="AF32" i="1"/>
  <c r="AF31" i="1"/>
  <c r="AF30" i="1"/>
  <c r="AF29" i="1"/>
  <c r="AF28" i="1"/>
  <c r="AE27" i="1"/>
  <c r="Y27" i="1"/>
  <c r="X27" i="1"/>
  <c r="W27" i="1"/>
  <c r="I27" i="1"/>
  <c r="C27" i="1"/>
  <c r="AE26" i="1"/>
  <c r="AD26" i="1"/>
  <c r="AD27" i="1" s="1"/>
  <c r="AD34" i="1" s="1"/>
  <c r="AC26" i="1"/>
  <c r="AC27" i="1" s="1"/>
  <c r="AC34" i="1" s="1"/>
  <c r="AB26" i="1"/>
  <c r="Y26" i="1"/>
  <c r="Y34" i="1" s="1"/>
  <c r="X26" i="1"/>
  <c r="W26" i="1"/>
  <c r="V26" i="1"/>
  <c r="U26" i="1"/>
  <c r="R26" i="1"/>
  <c r="Q26" i="1"/>
  <c r="P26" i="1"/>
  <c r="P27" i="1" s="1"/>
  <c r="O26" i="1"/>
  <c r="O27" i="1" s="1"/>
  <c r="O34" i="1" s="1"/>
  <c r="N26" i="1"/>
  <c r="N27" i="1" s="1"/>
  <c r="N34" i="1" s="1"/>
  <c r="K26" i="1"/>
  <c r="K27" i="1" s="1"/>
  <c r="K34" i="1" s="1"/>
  <c r="J26" i="1"/>
  <c r="I26" i="1"/>
  <c r="H26" i="1"/>
  <c r="H27" i="1" s="1"/>
  <c r="G26" i="1"/>
  <c r="G27" i="1" s="1"/>
  <c r="D26" i="1"/>
  <c r="D27" i="1" s="1"/>
  <c r="C26" i="1"/>
  <c r="AF25" i="1"/>
  <c r="AF24" i="1"/>
  <c r="AF23" i="1"/>
  <c r="AE34" i="1" l="1"/>
  <c r="I34" i="1"/>
  <c r="AF26" i="1"/>
  <c r="X34" i="1"/>
  <c r="W34" i="1"/>
  <c r="V27" i="1"/>
  <c r="V34" i="1" s="1"/>
  <c r="U27" i="1"/>
  <c r="U34" i="1" s="1"/>
  <c r="R27" i="1"/>
  <c r="R34" i="1" s="1"/>
  <c r="Q27" i="1"/>
  <c r="Q34" i="1" s="1"/>
  <c r="H34" i="1"/>
  <c r="G34" i="1"/>
  <c r="D34" i="1"/>
  <c r="C34" i="1"/>
  <c r="P34" i="1"/>
  <c r="P16" i="1"/>
  <c r="X16" i="1" s="1"/>
  <c r="J27" i="1"/>
  <c r="AB27" i="1"/>
  <c r="AB34" i="1" s="1"/>
  <c r="AF27" i="1" l="1"/>
  <c r="AF34" i="1" s="1"/>
  <c r="H16" i="1" s="1"/>
  <c r="J34" i="1"/>
  <c r="AF35" i="1" l="1"/>
  <c r="AG23" i="1" s="1"/>
  <c r="AG26" i="1" l="1"/>
  <c r="AG25" i="1"/>
  <c r="AG24" i="1"/>
</calcChain>
</file>

<file path=xl/sharedStrings.xml><?xml version="1.0" encoding="utf-8"?>
<sst xmlns="http://schemas.openxmlformats.org/spreadsheetml/2006/main" count="81" uniqueCount="58">
  <si>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</si>
  <si>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</si>
  <si>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</si>
  <si>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</si>
  <si>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</si>
  <si>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</si>
  <si>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</si>
  <si>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</si>
  <si>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</si>
  <si>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</si>
  <si>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</si>
  <si>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</si>
  <si>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</si>
  <si>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</si>
  <si>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</si>
  <si>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</si>
  <si>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</si>
  <si>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</si>
  <si>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</si>
  <si>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</si>
  <si>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</si>
  <si>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</si>
  <si>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</si>
  <si>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</si>
  <si>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</si>
  <si>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</si>
  <si>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</si>
  <si>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</si>
  <si>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</si>
  <si>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</si>
  <si>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</si>
  <si>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</si>
  <si>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</si>
  <si>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</si>
  <si>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</si>
  <si>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</si>
  <si>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</si>
  <si>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</si>
  <si>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</si>
  <si>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</si>
  <si>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PE104200 CAMS2_61 - WP1 CAMS2_61 WP1</t>
  </si>
  <si>
    <t>Dedicacion: 1% Estimated:1.58 h</t>
  </si>
  <si>
    <t>PE104200 CAMS2_61 - WP2 CAMS2_61 WP2</t>
  </si>
  <si>
    <t>Dedicacion: 9% Estimated:14.18 h</t>
  </si>
  <si>
    <t>PE122200 CAMEO - WP5 Uncertainty of emissions and surface fluxes in CAMS products</t>
  </si>
  <si>
    <t>Dedicacion: 90% Estimated:141.75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</si>
  <si>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</si>
  <si>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</si>
  <si>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</si>
  <si>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</si>
  <si>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</si>
  <si>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</si>
  <si>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</si>
  <si>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</si>
  <si>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</si>
  <si>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2024-03-12</t>
  </si>
  <si>
    <t xml:space="preserve">Date and signature of staff member:	</t>
  </si>
  <si>
    <t>2024-03-13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</si>
</sst>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40"/>
  <sheetViews>
    <sheetView tabSelected="1" zoomScale="60" zoomScaleNormal="60" workbookViewId="0">
      <selection activeCell="F23" sqref="F23"/>
    </sheetView>
  </sheetViews>
  <sheetFormatPr baseColWidth="10" defaultColWidth="8.7109375" defaultRowHeight="15" x14ac:dyDescent="0.25"/>
  <cols>
    <col min="1" max="2" width="40" customWidth="1"/>
  </cols>
  <sheetData>
    <row r="2" spans="1:32" ht="19.5" x14ac:dyDescent="0.3">
      <c r="C2" s="31" t="s">
        <v>1</v>
      </c>
      <c r="D2" s="31"/>
      <c r="E2" s="31"/>
    </row>
    <row r="4" spans="1:32" ht="19.5" x14ac:dyDescent="0.3">
      <c r="C4" s="39" t="s">
        <v>2</v>
      </c>
      <c r="D4" s="39"/>
      <c r="E4" s="39"/>
      <c r="F4" s="40" t="s">
        <v>3</v>
      </c>
      <c r="G4" s="40"/>
      <c r="H4" s="40"/>
      <c r="I4" s="41" t="s">
        <v>4</v>
      </c>
      <c r="J4" s="41"/>
      <c r="K4" s="42" t="s">
        <v>5</v>
      </c>
      <c r="L4" s="42"/>
      <c r="M4" s="43" t="s">
        <v>6</v>
      </c>
      <c r="N4" s="43"/>
      <c r="O4" s="44" t="s">
        <v>7</v>
      </c>
      <c r="P4" s="44"/>
      <c r="Q4" s="44"/>
    </row>
    <row r="6" spans="1:32" ht="26.25" x14ac:dyDescent="0.4">
      <c r="A6" s="38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8" spans="1:32" ht="19.5" x14ac:dyDescent="0.3">
      <c r="A8" s="1" t="s">
        <v>12</v>
      </c>
      <c r="B8" s="31" t="s">
        <v>8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19.5" x14ac:dyDescent="0.3">
      <c r="A9" s="1" t="s">
        <v>13</v>
      </c>
      <c r="B9" s="31" t="s">
        <v>9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19.5" x14ac:dyDescent="0.3">
      <c r="A10" s="1" t="s">
        <v>14</v>
      </c>
      <c r="B10" s="31" t="s">
        <v>10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19.5" x14ac:dyDescent="0.3">
      <c r="A11" s="1" t="s">
        <v>15</v>
      </c>
      <c r="B11" s="31" t="s">
        <v>11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19.5" x14ac:dyDescent="0.3">
      <c r="A12" s="1" t="s">
        <v>16</v>
      </c>
      <c r="B12" s="31">
        <v>2024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6" spans="1:32" ht="19.5" x14ac:dyDescent="0.3">
      <c r="F16" s="35" t="s">
        <v>17</v>
      </c>
      <c r="G16" s="36"/>
      <c r="H16" s="34">
        <f>AF34</f>
        <v>157.5</v>
      </c>
      <c r="I16" s="34"/>
      <c r="K16" s="35" t="s">
        <v>18</v>
      </c>
      <c r="L16" s="36"/>
      <c r="M16" s="36"/>
      <c r="N16" s="36"/>
      <c r="O16" s="36"/>
      <c r="P16" s="37">
        <f>AF26</f>
        <v>157.5</v>
      </c>
      <c r="Q16" s="37"/>
      <c r="S16" s="35" t="s">
        <v>19</v>
      </c>
      <c r="T16" s="36"/>
      <c r="U16" s="36"/>
      <c r="V16" s="36"/>
      <c r="W16" s="36"/>
      <c r="X16" s="34">
        <f>(P16/7.5) *1</f>
        <v>21</v>
      </c>
      <c r="Y16" s="34"/>
    </row>
    <row r="19" spans="1:33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13" t="s">
        <v>36</v>
      </c>
      <c r="AG19" s="14" t="s">
        <v>37</v>
      </c>
    </row>
    <row r="20" spans="1:33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13"/>
      <c r="AG20" s="16"/>
    </row>
    <row r="21" spans="1:33" ht="19.5" x14ac:dyDescent="0.3">
      <c r="A21" s="31" t="s">
        <v>38</v>
      </c>
      <c r="B21" s="31"/>
      <c r="C21" s="29"/>
      <c r="D21" s="29"/>
      <c r="E21" s="33"/>
      <c r="F21" s="33"/>
      <c r="G21" s="29"/>
      <c r="H21" s="29"/>
      <c r="I21" s="29"/>
      <c r="J21" s="29"/>
      <c r="K21" s="29"/>
      <c r="L21" s="33"/>
      <c r="M21" s="33"/>
      <c r="N21" s="29"/>
      <c r="O21" s="29"/>
      <c r="P21" s="29"/>
      <c r="Q21" s="29"/>
      <c r="R21" s="29"/>
      <c r="S21" s="33"/>
      <c r="T21" s="33"/>
      <c r="U21" s="29"/>
      <c r="V21" s="29"/>
      <c r="W21" s="29"/>
      <c r="X21" s="29"/>
      <c r="Y21" s="29"/>
      <c r="Z21" s="33"/>
      <c r="AA21" s="33"/>
      <c r="AB21" s="29"/>
      <c r="AC21" s="29"/>
      <c r="AD21" s="29"/>
      <c r="AE21" s="29"/>
      <c r="AF21" s="29"/>
      <c r="AG21" s="30"/>
    </row>
    <row r="22" spans="1:33" ht="19.5" x14ac:dyDescent="0.3">
      <c r="A22" s="32" t="s">
        <v>39</v>
      </c>
      <c r="B22" s="32"/>
      <c r="C22" s="29"/>
      <c r="D22" s="29"/>
      <c r="E22" s="33"/>
      <c r="F22" s="33"/>
      <c r="G22" s="29"/>
      <c r="H22" s="29"/>
      <c r="I22" s="29"/>
      <c r="J22" s="29"/>
      <c r="K22" s="29"/>
      <c r="L22" s="33"/>
      <c r="M22" s="33"/>
      <c r="N22" s="29"/>
      <c r="O22" s="29"/>
      <c r="P22" s="29"/>
      <c r="Q22" s="29"/>
      <c r="R22" s="29"/>
      <c r="S22" s="33"/>
      <c r="T22" s="33"/>
      <c r="U22" s="29"/>
      <c r="V22" s="29"/>
      <c r="W22" s="29"/>
      <c r="X22" s="29"/>
      <c r="Y22" s="29"/>
      <c r="Z22" s="33"/>
      <c r="AA22" s="33"/>
      <c r="AB22" s="29"/>
      <c r="AC22" s="29"/>
      <c r="AD22" s="29"/>
      <c r="AE22" s="29"/>
      <c r="AF22" s="29"/>
      <c r="AG22" s="30"/>
    </row>
    <row r="23" spans="1:33" ht="19.5" x14ac:dyDescent="0.3">
      <c r="A23" s="9" t="s">
        <v>40</v>
      </c>
      <c r="B23" s="9" t="s">
        <v>41</v>
      </c>
      <c r="C23" s="3"/>
      <c r="D23" s="3"/>
      <c r="E23" s="6"/>
      <c r="F23" s="6"/>
      <c r="G23" s="3"/>
      <c r="H23" s="3"/>
      <c r="I23" s="3"/>
      <c r="J23" s="3">
        <v>0.5</v>
      </c>
      <c r="K23" s="3"/>
      <c r="L23" s="6"/>
      <c r="M23" s="6"/>
      <c r="N23" s="3">
        <v>0.5</v>
      </c>
      <c r="O23" s="3"/>
      <c r="P23" s="3"/>
      <c r="Q23" s="3"/>
      <c r="R23" s="3"/>
      <c r="S23" s="6"/>
      <c r="T23" s="6"/>
      <c r="U23" s="3"/>
      <c r="V23" s="3">
        <v>0.5</v>
      </c>
      <c r="W23" s="3">
        <v>0.5</v>
      </c>
      <c r="X23" s="3"/>
      <c r="Y23" s="3"/>
      <c r="Z23" s="6"/>
      <c r="AA23" s="6"/>
      <c r="AB23" s="3"/>
      <c r="AC23" s="3"/>
      <c r="AD23" s="3"/>
      <c r="AE23" s="3"/>
      <c r="AF23" s="3">
        <f>SUM(C23:AE23)</f>
        <v>2</v>
      </c>
      <c r="AG23" s="10">
        <f>AF23/$AF$35</f>
        <v>1.2698412698412698E-2</v>
      </c>
    </row>
    <row r="24" spans="1:33" ht="19.5" x14ac:dyDescent="0.3">
      <c r="A24" s="9" t="s">
        <v>42</v>
      </c>
      <c r="B24" s="9" t="s">
        <v>43</v>
      </c>
      <c r="C24" s="3">
        <v>0.5</v>
      </c>
      <c r="D24" s="3">
        <v>0.5</v>
      </c>
      <c r="E24" s="6"/>
      <c r="F24" s="6"/>
      <c r="G24" s="3">
        <v>0.5</v>
      </c>
      <c r="H24" s="3">
        <v>0.5</v>
      </c>
      <c r="I24" s="3">
        <v>0.5</v>
      </c>
      <c r="J24" s="3">
        <v>0.5</v>
      </c>
      <c r="K24" s="3">
        <v>0.5</v>
      </c>
      <c r="L24" s="6"/>
      <c r="M24" s="6"/>
      <c r="N24" s="3">
        <v>0.5</v>
      </c>
      <c r="O24" s="3">
        <v>0.5</v>
      </c>
      <c r="P24" s="3">
        <v>0.5</v>
      </c>
      <c r="Q24" s="3">
        <v>1.5</v>
      </c>
      <c r="R24" s="3">
        <v>0.5</v>
      </c>
      <c r="S24" s="6"/>
      <c r="T24" s="6"/>
      <c r="U24" s="3">
        <v>0.5</v>
      </c>
      <c r="V24" s="3">
        <v>0.5</v>
      </c>
      <c r="W24" s="3">
        <v>1</v>
      </c>
      <c r="X24" s="3">
        <v>0.5</v>
      </c>
      <c r="Y24" s="3">
        <v>0.5</v>
      </c>
      <c r="Z24" s="6"/>
      <c r="AA24" s="6"/>
      <c r="AB24" s="3">
        <v>0.5</v>
      </c>
      <c r="AC24" s="3">
        <v>1.5</v>
      </c>
      <c r="AD24" s="3">
        <v>0.5</v>
      </c>
      <c r="AE24" s="3">
        <v>1</v>
      </c>
      <c r="AF24" s="3">
        <f>SUM(C24:AE24)</f>
        <v>13.5</v>
      </c>
      <c r="AG24" s="10">
        <f>AF24/$AF$35</f>
        <v>8.5714285714285715E-2</v>
      </c>
    </row>
    <row r="25" spans="1:33" ht="19.5" x14ac:dyDescent="0.3">
      <c r="A25" s="9" t="s">
        <v>44</v>
      </c>
      <c r="B25" s="9" t="s">
        <v>45</v>
      </c>
      <c r="C25" s="3">
        <v>7</v>
      </c>
      <c r="D25" s="3">
        <v>7</v>
      </c>
      <c r="E25" s="6"/>
      <c r="F25" s="6"/>
      <c r="G25" s="3">
        <v>7</v>
      </c>
      <c r="H25" s="3">
        <v>7</v>
      </c>
      <c r="I25" s="3">
        <v>7</v>
      </c>
      <c r="J25" s="3">
        <v>6.5</v>
      </c>
      <c r="K25" s="3">
        <v>7</v>
      </c>
      <c r="L25" s="6"/>
      <c r="M25" s="6"/>
      <c r="N25" s="3">
        <v>6.5</v>
      </c>
      <c r="O25" s="3">
        <v>7</v>
      </c>
      <c r="P25" s="3">
        <v>7</v>
      </c>
      <c r="Q25" s="3">
        <v>6</v>
      </c>
      <c r="R25" s="3">
        <v>7</v>
      </c>
      <c r="S25" s="6"/>
      <c r="T25" s="6"/>
      <c r="U25" s="3">
        <v>7</v>
      </c>
      <c r="V25" s="3">
        <v>6.5</v>
      </c>
      <c r="W25" s="3">
        <v>6</v>
      </c>
      <c r="X25" s="3">
        <v>7</v>
      </c>
      <c r="Y25" s="3">
        <v>7</v>
      </c>
      <c r="Z25" s="6"/>
      <c r="AA25" s="6"/>
      <c r="AB25" s="3">
        <v>7</v>
      </c>
      <c r="AC25" s="3">
        <v>6</v>
      </c>
      <c r="AD25" s="3">
        <v>7</v>
      </c>
      <c r="AE25" s="3">
        <v>6.5</v>
      </c>
      <c r="AF25" s="3">
        <f>SUM(C25:AE25)</f>
        <v>142</v>
      </c>
      <c r="AG25" s="10">
        <f>AF25/$AF$35</f>
        <v>0.9015873015873016</v>
      </c>
    </row>
    <row r="26" spans="1:33" ht="19.5" x14ac:dyDescent="0.3">
      <c r="A26" s="27" t="s">
        <v>46</v>
      </c>
      <c r="B26" s="28"/>
      <c r="C26" s="4">
        <f>SUM(C23:C25)</f>
        <v>7.5</v>
      </c>
      <c r="D26" s="4">
        <f>SUM(D23:D25)</f>
        <v>7.5</v>
      </c>
      <c r="E26" s="7"/>
      <c r="F26" s="7"/>
      <c r="G26" s="4">
        <f>SUM(G23:G25)</f>
        <v>7.5</v>
      </c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7"/>
      <c r="M26" s="7"/>
      <c r="N26" s="4">
        <f>SUM(N23:N25)</f>
        <v>7.5</v>
      </c>
      <c r="O26" s="4">
        <f>SUM(O23:O25)</f>
        <v>7.5</v>
      </c>
      <c r="P26" s="4">
        <f>SUM(P23:P25)</f>
        <v>7.5</v>
      </c>
      <c r="Q26" s="4">
        <f>SUM(Q23:Q25)</f>
        <v>7.5</v>
      </c>
      <c r="R26" s="4">
        <f>SUM(R23:R25)</f>
        <v>7.5</v>
      </c>
      <c r="S26" s="7"/>
      <c r="T26" s="7"/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4">
        <f>SUM(Y23:Y25)</f>
        <v>7.5</v>
      </c>
      <c r="Z26" s="7"/>
      <c r="AA26" s="7"/>
      <c r="AB26" s="4">
        <f>SUM(AB23:AB25)</f>
        <v>7.5</v>
      </c>
      <c r="AC26" s="4">
        <f>SUM(AC23:AC25)</f>
        <v>7.5</v>
      </c>
      <c r="AD26" s="4">
        <f>SUM(AD23:AD25)</f>
        <v>7.5</v>
      </c>
      <c r="AE26" s="4">
        <f>SUM(AE23:AE25)</f>
        <v>7.5</v>
      </c>
      <c r="AF26" s="4">
        <f>SUM(AF23:AF25)</f>
        <v>157.5</v>
      </c>
      <c r="AG26" s="8">
        <f>AF26/$AF$35</f>
        <v>1</v>
      </c>
    </row>
    <row r="27" spans="1:33" ht="19.5" x14ac:dyDescent="0.3">
      <c r="A27" s="12" t="s">
        <v>47</v>
      </c>
      <c r="B27" s="12"/>
      <c r="C27" s="3">
        <f>7.5-C26</f>
        <v>0</v>
      </c>
      <c r="D27" s="3">
        <f>7.5-D26</f>
        <v>0</v>
      </c>
      <c r="E27" s="6"/>
      <c r="F27" s="6"/>
      <c r="G27" s="3">
        <f>7.5-G26</f>
        <v>0</v>
      </c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6"/>
      <c r="M27" s="6"/>
      <c r="N27" s="3">
        <f>7.5-N26</f>
        <v>0</v>
      </c>
      <c r="O27" s="3">
        <f>7.5-O26</f>
        <v>0</v>
      </c>
      <c r="P27" s="3">
        <f>7.5-P26</f>
        <v>0</v>
      </c>
      <c r="Q27" s="3">
        <f>7.5-Q26</f>
        <v>0</v>
      </c>
      <c r="R27" s="3">
        <f>7.5-R26</f>
        <v>0</v>
      </c>
      <c r="S27" s="6"/>
      <c r="T27" s="6"/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3">
        <f>7.5-Y26</f>
        <v>0</v>
      </c>
      <c r="Z27" s="6"/>
      <c r="AA27" s="6"/>
      <c r="AB27" s="3">
        <f>7.5-AB26</f>
        <v>0</v>
      </c>
      <c r="AC27" s="3">
        <f>7.5-AC26</f>
        <v>0</v>
      </c>
      <c r="AD27" s="3">
        <f>7.5-AD26</f>
        <v>0</v>
      </c>
      <c r="AE27" s="3">
        <f>7.5-AE26</f>
        <v>0</v>
      </c>
      <c r="AF27" s="3">
        <f t="shared" ref="AF27:AF33" si="0">SUM(C27:AE27)</f>
        <v>0</v>
      </c>
    </row>
    <row r="28" spans="1:33" ht="19.5" x14ac:dyDescent="0.3">
      <c r="A28" s="12"/>
      <c r="B28" s="12"/>
      <c r="C28" s="3"/>
      <c r="D28" s="3"/>
      <c r="E28" s="6"/>
      <c r="F28" s="6"/>
      <c r="G28" s="3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6"/>
      <c r="AA28" s="6"/>
      <c r="AB28" s="3"/>
      <c r="AC28" s="3"/>
      <c r="AD28" s="3"/>
      <c r="AE28" s="3"/>
      <c r="AF28" s="3">
        <f t="shared" si="0"/>
        <v>0</v>
      </c>
    </row>
    <row r="29" spans="1:33" ht="19.5" x14ac:dyDescent="0.3">
      <c r="A29" s="12"/>
      <c r="B29" s="12"/>
      <c r="C29" s="3"/>
      <c r="D29" s="3"/>
      <c r="E29" s="6"/>
      <c r="F29" s="6"/>
      <c r="G29" s="3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6"/>
      <c r="AA29" s="6"/>
      <c r="AB29" s="3"/>
      <c r="AC29" s="3"/>
      <c r="AD29" s="3"/>
      <c r="AE29" s="3"/>
      <c r="AF29" s="3">
        <f t="shared" si="0"/>
        <v>0</v>
      </c>
    </row>
    <row r="30" spans="1:33" ht="19.5" x14ac:dyDescent="0.3">
      <c r="A30" s="12"/>
      <c r="B30" s="12"/>
      <c r="C30" s="3"/>
      <c r="D30" s="3"/>
      <c r="E30" s="6"/>
      <c r="F30" s="6"/>
      <c r="G30" s="3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3"/>
      <c r="AF30" s="3">
        <f t="shared" si="0"/>
        <v>0</v>
      </c>
    </row>
    <row r="31" spans="1:33" ht="19.5" x14ac:dyDescent="0.3">
      <c r="A31" s="12" t="s">
        <v>48</v>
      </c>
      <c r="B31" s="12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>
        <f t="shared" si="0"/>
        <v>0</v>
      </c>
    </row>
    <row r="32" spans="1:33" ht="19.5" x14ac:dyDescent="0.3">
      <c r="A32" s="12" t="s">
        <v>49</v>
      </c>
      <c r="B32" s="12"/>
      <c r="C32" s="3"/>
      <c r="D32" s="3"/>
      <c r="E32" s="6"/>
      <c r="F32" s="6"/>
      <c r="G32" s="3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6"/>
      <c r="AA32" s="6"/>
      <c r="AB32" s="3"/>
      <c r="AC32" s="3"/>
      <c r="AD32" s="3"/>
      <c r="AE32" s="3"/>
      <c r="AF32" s="3">
        <f t="shared" si="0"/>
        <v>0</v>
      </c>
    </row>
    <row r="33" spans="1:32" ht="19.5" x14ac:dyDescent="0.3">
      <c r="A33" s="12" t="s">
        <v>50</v>
      </c>
      <c r="B33" s="12"/>
      <c r="C33" s="3"/>
      <c r="D33" s="3"/>
      <c r="E33" s="6"/>
      <c r="F33" s="6"/>
      <c r="G33" s="3"/>
      <c r="H33" s="3"/>
      <c r="I33" s="3"/>
      <c r="J33" s="3"/>
      <c r="K33" s="3"/>
      <c r="L33" s="6"/>
      <c r="M33" s="6"/>
      <c r="N33" s="3"/>
      <c r="O33" s="3"/>
      <c r="P33" s="3"/>
      <c r="Q33" s="3"/>
      <c r="R33" s="3"/>
      <c r="S33" s="6"/>
      <c r="T33" s="6"/>
      <c r="U33" s="3"/>
      <c r="V33" s="3"/>
      <c r="W33" s="3"/>
      <c r="X33" s="3"/>
      <c r="Y33" s="3"/>
      <c r="Z33" s="6"/>
      <c r="AA33" s="6"/>
      <c r="AB33" s="3"/>
      <c r="AC33" s="3"/>
      <c r="AD33" s="3"/>
      <c r="AE33" s="3"/>
      <c r="AF33" s="3">
        <f t="shared" si="0"/>
        <v>0</v>
      </c>
    </row>
    <row r="34" spans="1:32" ht="19.5" x14ac:dyDescent="0.3">
      <c r="A34" s="9" t="s">
        <v>51</v>
      </c>
      <c r="B34" s="9"/>
      <c r="C34" s="4">
        <f>SUM(C26:C30)</f>
        <v>7.5</v>
      </c>
      <c r="D34" s="4">
        <f>SUM(D26:D30)</f>
        <v>7.5</v>
      </c>
      <c r="E34" s="7"/>
      <c r="F34" s="7"/>
      <c r="G34" s="4">
        <f>SUM(G26:G30)</f>
        <v>7.5</v>
      </c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7"/>
      <c r="M34" s="7"/>
      <c r="N34" s="4">
        <f>SUM(N26:N30)</f>
        <v>7.5</v>
      </c>
      <c r="O34" s="4">
        <f>SUM(O26:O30)</f>
        <v>7.5</v>
      </c>
      <c r="P34" s="4">
        <f>SUM(P26:P30)</f>
        <v>7.5</v>
      </c>
      <c r="Q34" s="4">
        <f>SUM(Q26:Q30)</f>
        <v>7.5</v>
      </c>
      <c r="R34" s="4">
        <f>SUM(R26:R30)</f>
        <v>7.5</v>
      </c>
      <c r="S34" s="7"/>
      <c r="T34" s="7"/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4">
        <f>SUM(Y26:Y30)</f>
        <v>7.5</v>
      </c>
      <c r="Z34" s="7"/>
      <c r="AA34" s="7"/>
      <c r="AB34" s="4">
        <f>SUM(AB26:AB30)</f>
        <v>7.5</v>
      </c>
      <c r="AC34" s="4">
        <f>SUM(AC26:AC30)</f>
        <v>7.5</v>
      </c>
      <c r="AD34" s="4">
        <f>SUM(AD26:AD30)</f>
        <v>7.5</v>
      </c>
      <c r="AE34" s="4">
        <f>SUM(AE26:AE30)</f>
        <v>7.5</v>
      </c>
      <c r="AF34" s="4">
        <f>SUM(AF26:AF30)</f>
        <v>157.5</v>
      </c>
    </row>
    <row r="35" spans="1:32" ht="19.5" x14ac:dyDescent="0.3">
      <c r="A35" s="9" t="s">
        <v>52</v>
      </c>
      <c r="B35" s="9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2">
        <f>SUM(AF31:AF34)</f>
        <v>157.5</v>
      </c>
    </row>
    <row r="38" spans="1:32" x14ac:dyDescent="0.25">
      <c r="A38" s="14" t="s">
        <v>53</v>
      </c>
      <c r="B38" s="14" t="s">
        <v>54</v>
      </c>
      <c r="W38" s="17" t="s">
        <v>56</v>
      </c>
      <c r="X38" s="18"/>
      <c r="Y38" s="18"/>
      <c r="Z38" s="18"/>
      <c r="AA38" s="19"/>
      <c r="AB38" s="17" t="s">
        <v>9</v>
      </c>
      <c r="AC38" s="18"/>
      <c r="AD38" s="18"/>
      <c r="AE38" s="19"/>
    </row>
    <row r="39" spans="1:32" x14ac:dyDescent="0.25">
      <c r="A39" s="15"/>
      <c r="B39" s="15"/>
      <c r="W39" s="20"/>
      <c r="X39" s="21"/>
      <c r="Y39" s="21"/>
      <c r="Z39" s="21"/>
      <c r="AA39" s="22"/>
      <c r="AB39" s="20"/>
      <c r="AC39" s="21"/>
      <c r="AD39" s="21"/>
      <c r="AE39" s="22"/>
    </row>
    <row r="40" spans="1:32" ht="19.5" x14ac:dyDescent="0.25">
      <c r="A40" s="16"/>
      <c r="B40" s="11" t="s">
        <v>55</v>
      </c>
      <c r="W40" s="23"/>
      <c r="X40" s="24"/>
      <c r="Y40" s="24"/>
      <c r="Z40" s="24"/>
      <c r="AA40" s="25"/>
      <c r="AB40" s="26" t="s">
        <v>57</v>
      </c>
      <c r="AC40" s="24"/>
      <c r="AD40" s="24"/>
      <c r="AE40" s="25"/>
    </row>
  </sheetData>
  <mergeCells count="68">
    <mergeCell ref="A6:AF6"/>
    <mergeCell ref="C2:E2"/>
    <mergeCell ref="C4:E4"/>
    <mergeCell ref="F4:H4"/>
    <mergeCell ref="I4:J4"/>
    <mergeCell ref="K4:L4"/>
    <mergeCell ref="M4:N4"/>
    <mergeCell ref="O4:Q4"/>
    <mergeCell ref="B8:AF8"/>
    <mergeCell ref="B9:AF9"/>
    <mergeCell ref="B10:AF10"/>
    <mergeCell ref="B11:AF11"/>
    <mergeCell ref="B12:AF12"/>
    <mergeCell ref="F16:G16"/>
    <mergeCell ref="K16:O16"/>
    <mergeCell ref="S16:W16"/>
    <mergeCell ref="H16:I16"/>
    <mergeCell ref="P16:Q16"/>
    <mergeCell ref="M21:M22"/>
    <mergeCell ref="N21:N22"/>
    <mergeCell ref="O21:O22"/>
    <mergeCell ref="P21:P22"/>
    <mergeCell ref="Q21:Q22"/>
    <mergeCell ref="H21:H22"/>
    <mergeCell ref="I21:I22"/>
    <mergeCell ref="J21:J22"/>
    <mergeCell ref="K21:K22"/>
    <mergeCell ref="L21:L22"/>
    <mergeCell ref="C21:C22"/>
    <mergeCell ref="D21:D22"/>
    <mergeCell ref="E21:E22"/>
    <mergeCell ref="F21:F22"/>
    <mergeCell ref="G21:G22"/>
    <mergeCell ref="S21:S22"/>
    <mergeCell ref="T21:T22"/>
    <mergeCell ref="U21:U22"/>
    <mergeCell ref="V21:V22"/>
    <mergeCell ref="X16:Y16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A26:B26"/>
    <mergeCell ref="A27:B27"/>
    <mergeCell ref="A28:B28"/>
    <mergeCell ref="A29:B29"/>
    <mergeCell ref="A30:B30"/>
    <mergeCell ref="A31:B31"/>
    <mergeCell ref="A32:B32"/>
    <mergeCell ref="A33:B33"/>
    <mergeCell ref="C35:AE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2024-06-10T07:26:08Z</dcterms:created>
  <dcterms:modified xsi:type="dcterms:W3CDTF">2024-12-12T08:58:30Z</dcterms:modified>
  <cp:category/>
</cp:coreProperties>
</file>