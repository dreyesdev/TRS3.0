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"/>
    </mc:Choice>
  </mc:AlternateContent>
  <xr:revisionPtr revIDLastSave="0" documentId="13_ncr:1_{6CE4ECAC-0422-4782-90D1-701AC5DDB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AE27" i="1"/>
  <c r="AD27" i="1"/>
  <c r="AC27" i="1"/>
  <c r="AB27" i="1"/>
  <c r="X27" i="1"/>
  <c r="W27" i="1"/>
  <c r="W28" i="1" s="1"/>
  <c r="V27" i="1"/>
  <c r="V28" i="1" s="1"/>
  <c r="U27" i="1"/>
  <c r="T27" i="1"/>
  <c r="T28" i="1" s="1"/>
  <c r="T35" i="1" s="1"/>
  <c r="Q27" i="1"/>
  <c r="Q28" i="1" s="1"/>
  <c r="Q35" i="1" s="1"/>
  <c r="P27" i="1"/>
  <c r="O27" i="1"/>
  <c r="N27" i="1"/>
  <c r="J27" i="1"/>
  <c r="I27" i="1"/>
  <c r="H27" i="1"/>
  <c r="G27" i="1"/>
  <c r="F27" i="1"/>
  <c r="F28" i="1" s="1"/>
  <c r="C27" i="1"/>
  <c r="C28" i="1" s="1"/>
  <c r="AG26" i="1"/>
  <c r="AG25" i="1"/>
  <c r="AG24" i="1"/>
  <c r="AG23" i="1"/>
  <c r="W35" i="1" l="1"/>
  <c r="V35" i="1"/>
  <c r="U28" i="1"/>
  <c r="U35" i="1" s="1"/>
  <c r="F35" i="1"/>
  <c r="C35" i="1"/>
  <c r="AG27" i="1"/>
  <c r="P16" i="1" s="1"/>
  <c r="X16" i="1" s="1"/>
  <c r="J35" i="1"/>
  <c r="G28" i="1"/>
  <c r="G35" i="1" s="1"/>
  <c r="X28" i="1"/>
  <c r="X35" i="1" s="1"/>
  <c r="H28" i="1"/>
  <c r="H35" i="1" s="1"/>
  <c r="AB28" i="1"/>
  <c r="AB35" i="1" s="1"/>
  <c r="I28" i="1"/>
  <c r="I35" i="1" s="1"/>
  <c r="AC28" i="1"/>
  <c r="AC35" i="1" s="1"/>
  <c r="J28" i="1"/>
  <c r="AD28" i="1"/>
  <c r="AD35" i="1" s="1"/>
  <c r="N28" i="1"/>
  <c r="N35" i="1" s="1"/>
  <c r="AE28" i="1"/>
  <c r="AE35" i="1" s="1"/>
  <c r="O28" i="1"/>
  <c r="O35" i="1" s="1"/>
  <c r="P28" i="1"/>
  <c r="P35" i="1" s="1"/>
  <c r="AG28" i="1" l="1"/>
  <c r="AG35" i="1" s="1"/>
  <c r="H16" i="1" l="1"/>
  <c r="AG36" i="1"/>
  <c r="AH24" i="1" l="1"/>
  <c r="AH25" i="1"/>
  <c r="AH27" i="1"/>
  <c r="AH23" i="1"/>
  <c r="AH26" i="1"/>
</calcChain>
</file>

<file path=xl/sharedStrings.xml><?xml version="1.0" encoding="utf-8"?>
<sst xmlns="http://schemas.openxmlformats.org/spreadsheetml/2006/main" count="83" uniqueCount="59">
  <si>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</si>
  <si>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</si>
  <si>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</si>
  <si>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</si>
  <si>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</si>
  <si>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</si>
  <si>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</si>
  <si>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</si>
  <si>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</si>
  <si>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</si>
  <si>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</si>
  <si>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</si>
  <si>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</si>
  <si>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</si>
  <si>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</si>
  <si>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</si>
  <si>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</si>
  <si>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</si>
  <si>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</si>
  <si>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</si>
  <si>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</si>
  <si>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</si>
  <si>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</si>
  <si>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</si>
  <si>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</si>
  <si>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</si>
  <si>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</si>
  <si>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</si>
  <si>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</si>
  <si>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</si>
  <si>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</si>
  <si>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</si>
  <si>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</si>
  <si>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</si>
  <si>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</si>
  <si>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</si>
  <si>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</si>
  <si>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</si>
  <si>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</si>
  <si>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</si>
  <si>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</si>
  <si>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Estimated:7.125 h</t>
  </si>
  <si>
    <t>PE104200 CAMS2_61 - WP1 CAMS2_61 WP1</t>
  </si>
  <si>
    <t>Dedicacion: 9% Estimated:12.825 h</t>
  </si>
  <si>
    <t>PE104200 CAMS2_61 - WP2 CAMS2_61 WP2</t>
  </si>
  <si>
    <t>Dedicacion: 13% Estimated:18.525 h</t>
  </si>
  <si>
    <t>PN037600 CLIMCAT - T1.01 Description of all the data sources available</t>
  </si>
  <si>
    <t>Dedicacion: 73% Estimated:104.025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</si>
  <si>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</si>
  <si>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</si>
  <si>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</si>
  <si>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</si>
  <si>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</si>
  <si>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</si>
  <si>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</si>
  <si>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</si>
  <si>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</si>
  <si>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 xml:space="preserve">Date and signature of staff member:	</t>
  </si>
  <si>
    <t>2023-10-16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</si>
</sst>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showGridLines="0" tabSelected="1" zoomScale="69" zoomScaleNormal="69" workbookViewId="0">
      <selection activeCell="X24" sqref="X2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AG35</f>
        <v>142.5</v>
      </c>
      <c r="I16" s="25"/>
      <c r="K16" s="24" t="s">
        <v>18</v>
      </c>
      <c r="L16" s="16"/>
      <c r="M16" s="16"/>
      <c r="N16" s="16"/>
      <c r="O16" s="16"/>
      <c r="P16" s="25">
        <f>AG27</f>
        <v>142.5</v>
      </c>
      <c r="Q16" s="25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7"/>
      <c r="E21" s="27"/>
      <c r="F21" s="26"/>
      <c r="G21" s="26"/>
      <c r="H21" s="26"/>
      <c r="I21" s="26"/>
      <c r="J21" s="26"/>
      <c r="K21" s="27"/>
      <c r="L21" s="27"/>
      <c r="M21" s="28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6"/>
      <c r="AC21" s="26"/>
      <c r="AD21" s="26"/>
      <c r="AE21" s="26"/>
      <c r="AF21" s="27"/>
      <c r="AG21" s="26"/>
      <c r="AH21" s="32"/>
    </row>
    <row r="22" spans="1:34" ht="19.5" x14ac:dyDescent="0.3">
      <c r="A22" s="33" t="s">
        <v>39</v>
      </c>
      <c r="B22" s="33"/>
      <c r="C22" s="26"/>
      <c r="D22" s="27"/>
      <c r="E22" s="27"/>
      <c r="F22" s="26"/>
      <c r="G22" s="26"/>
      <c r="H22" s="26"/>
      <c r="I22" s="26"/>
      <c r="J22" s="26"/>
      <c r="K22" s="27"/>
      <c r="L22" s="27"/>
      <c r="M22" s="28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6"/>
      <c r="AC22" s="26"/>
      <c r="AD22" s="26"/>
      <c r="AE22" s="26"/>
      <c r="AF22" s="27"/>
      <c r="AG22" s="26"/>
      <c r="AH22" s="32"/>
    </row>
    <row r="23" spans="1:34" ht="19.5" x14ac:dyDescent="0.3">
      <c r="A23" s="12" t="s">
        <v>40</v>
      </c>
      <c r="B23" s="12" t="s">
        <v>41</v>
      </c>
      <c r="C23" s="3">
        <v>1</v>
      </c>
      <c r="D23" s="6"/>
      <c r="E23" s="6"/>
      <c r="F23" s="3">
        <v>1</v>
      </c>
      <c r="G23" s="3"/>
      <c r="H23" s="3"/>
      <c r="I23" s="3"/>
      <c r="J23" s="3">
        <v>1</v>
      </c>
      <c r="K23" s="6"/>
      <c r="L23" s="6"/>
      <c r="M23" s="9"/>
      <c r="N23" s="3"/>
      <c r="O23" s="3"/>
      <c r="P23" s="3">
        <v>1</v>
      </c>
      <c r="Q23" s="3"/>
      <c r="R23" s="6"/>
      <c r="S23" s="6"/>
      <c r="T23" s="3"/>
      <c r="U23" s="3">
        <v>1</v>
      </c>
      <c r="V23" s="3"/>
      <c r="W23" s="3">
        <v>1</v>
      </c>
      <c r="X23" s="3"/>
      <c r="Y23" s="6"/>
      <c r="Z23" s="6"/>
      <c r="AA23" s="9"/>
      <c r="AB23" s="3"/>
      <c r="AC23" s="3"/>
      <c r="AD23" s="3">
        <v>1</v>
      </c>
      <c r="AE23" s="3"/>
      <c r="AF23" s="6"/>
      <c r="AG23" s="3">
        <f>SUM(C23:AF23)</f>
        <v>7</v>
      </c>
      <c r="AH23" s="13">
        <f>AG23/$AG$36</f>
        <v>4.912280701754386E-2</v>
      </c>
    </row>
    <row r="24" spans="1:34" ht="19.5" x14ac:dyDescent="0.3">
      <c r="A24" s="12" t="s">
        <v>42</v>
      </c>
      <c r="B24" s="12" t="s">
        <v>43</v>
      </c>
      <c r="C24" s="3">
        <v>1.5</v>
      </c>
      <c r="D24" s="6"/>
      <c r="E24" s="6"/>
      <c r="F24" s="3"/>
      <c r="G24" s="3"/>
      <c r="H24" s="3"/>
      <c r="I24" s="3">
        <v>1.5</v>
      </c>
      <c r="J24" s="3"/>
      <c r="K24" s="6"/>
      <c r="L24" s="6"/>
      <c r="M24" s="9"/>
      <c r="N24" s="3">
        <v>1</v>
      </c>
      <c r="O24" s="3">
        <v>2.5</v>
      </c>
      <c r="P24" s="3"/>
      <c r="Q24" s="3">
        <v>1</v>
      </c>
      <c r="R24" s="6"/>
      <c r="S24" s="6"/>
      <c r="T24" s="3"/>
      <c r="U24" s="3"/>
      <c r="V24" s="3">
        <v>1</v>
      </c>
      <c r="W24" s="3"/>
      <c r="X24" s="3">
        <v>0.5</v>
      </c>
      <c r="Y24" s="6"/>
      <c r="Z24" s="6"/>
      <c r="AA24" s="9"/>
      <c r="AB24" s="3">
        <v>1.5</v>
      </c>
      <c r="AC24" s="3">
        <v>2.5</v>
      </c>
      <c r="AD24" s="3"/>
      <c r="AE24" s="3"/>
      <c r="AF24" s="6"/>
      <c r="AG24" s="3">
        <f>SUM(C24:AF24)</f>
        <v>13</v>
      </c>
      <c r="AH24" s="13">
        <f>AG24/$AG$36</f>
        <v>9.1228070175438603E-2</v>
      </c>
    </row>
    <row r="25" spans="1:34" ht="19.5" x14ac:dyDescent="0.3">
      <c r="A25" s="12" t="s">
        <v>44</v>
      </c>
      <c r="B25" s="12" t="s">
        <v>45</v>
      </c>
      <c r="C25" s="3"/>
      <c r="D25" s="6"/>
      <c r="E25" s="6"/>
      <c r="F25" s="3">
        <v>1.5</v>
      </c>
      <c r="G25" s="3">
        <v>1.5</v>
      </c>
      <c r="H25" s="3"/>
      <c r="I25" s="3">
        <v>1</v>
      </c>
      <c r="J25" s="3">
        <v>1.5</v>
      </c>
      <c r="K25" s="6"/>
      <c r="L25" s="6"/>
      <c r="M25" s="9"/>
      <c r="N25" s="3">
        <v>1.5</v>
      </c>
      <c r="O25" s="3"/>
      <c r="P25" s="3">
        <v>1</v>
      </c>
      <c r="Q25" s="3">
        <v>1.5</v>
      </c>
      <c r="R25" s="6"/>
      <c r="S25" s="6"/>
      <c r="T25" s="3">
        <v>2.5</v>
      </c>
      <c r="U25" s="3">
        <v>1</v>
      </c>
      <c r="V25" s="3"/>
      <c r="W25" s="3">
        <v>1.5</v>
      </c>
      <c r="X25" s="3">
        <v>2</v>
      </c>
      <c r="Y25" s="6"/>
      <c r="Z25" s="6"/>
      <c r="AA25" s="9"/>
      <c r="AB25" s="3"/>
      <c r="AC25" s="3"/>
      <c r="AD25" s="3">
        <v>1</v>
      </c>
      <c r="AE25" s="3">
        <v>1</v>
      </c>
      <c r="AF25" s="6"/>
      <c r="AG25" s="3">
        <f>SUM(C25:AF25)</f>
        <v>18.5</v>
      </c>
      <c r="AH25" s="13">
        <f>AG25/$AG$36</f>
        <v>0.12982456140350876</v>
      </c>
    </row>
    <row r="26" spans="1:34" ht="19.5" x14ac:dyDescent="0.3">
      <c r="A26" s="12" t="s">
        <v>46</v>
      </c>
      <c r="B26" s="12" t="s">
        <v>47</v>
      </c>
      <c r="C26" s="3">
        <v>5</v>
      </c>
      <c r="D26" s="6"/>
      <c r="E26" s="6"/>
      <c r="F26" s="3">
        <v>5</v>
      </c>
      <c r="G26" s="3">
        <v>6</v>
      </c>
      <c r="H26" s="3">
        <v>7.5</v>
      </c>
      <c r="I26" s="3">
        <v>5</v>
      </c>
      <c r="J26" s="3">
        <v>5</v>
      </c>
      <c r="K26" s="6"/>
      <c r="L26" s="6"/>
      <c r="M26" s="9"/>
      <c r="N26" s="3">
        <v>5</v>
      </c>
      <c r="O26" s="3">
        <v>5</v>
      </c>
      <c r="P26" s="3">
        <v>5.5</v>
      </c>
      <c r="Q26" s="3">
        <v>5</v>
      </c>
      <c r="R26" s="6"/>
      <c r="S26" s="6"/>
      <c r="T26" s="3">
        <v>5</v>
      </c>
      <c r="U26" s="3">
        <v>5.5</v>
      </c>
      <c r="V26" s="3">
        <v>6.5</v>
      </c>
      <c r="W26" s="3">
        <v>5</v>
      </c>
      <c r="X26" s="3">
        <v>5</v>
      </c>
      <c r="Y26" s="6"/>
      <c r="Z26" s="6"/>
      <c r="AA26" s="9"/>
      <c r="AB26" s="3">
        <v>6</v>
      </c>
      <c r="AC26" s="3">
        <v>5</v>
      </c>
      <c r="AD26" s="3">
        <v>5.5</v>
      </c>
      <c r="AE26" s="3">
        <v>6.5</v>
      </c>
      <c r="AF26" s="6"/>
      <c r="AG26" s="3">
        <f>SUM(C26:AF26)</f>
        <v>104</v>
      </c>
      <c r="AH26" s="13">
        <f>AG26/$AG$36</f>
        <v>0.72982456140350882</v>
      </c>
    </row>
    <row r="27" spans="1:34" ht="19.5" x14ac:dyDescent="0.3">
      <c r="A27" s="34" t="s">
        <v>48</v>
      </c>
      <c r="B27" s="35"/>
      <c r="C27" s="4">
        <f>SUM(C23:C26)</f>
        <v>7.5</v>
      </c>
      <c r="D27" s="7"/>
      <c r="E27" s="7"/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4">
        <f>SUM(J23:J26)</f>
        <v>7.5</v>
      </c>
      <c r="K27" s="7"/>
      <c r="L27" s="7"/>
      <c r="M27" s="10"/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7"/>
      <c r="S27" s="7"/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7"/>
      <c r="Z27" s="7"/>
      <c r="AA27" s="10"/>
      <c r="AB27" s="4">
        <f>SUM(AB23:AB26)</f>
        <v>7.5</v>
      </c>
      <c r="AC27" s="4">
        <f>SUM(AC23:AC26)</f>
        <v>7.5</v>
      </c>
      <c r="AD27" s="4">
        <f>SUM(AD23:AD26)</f>
        <v>7.5</v>
      </c>
      <c r="AE27" s="4">
        <f>SUM(AE23:AE26)</f>
        <v>7.5</v>
      </c>
      <c r="AF27" s="7"/>
      <c r="AG27" s="4">
        <f>SUM(AG23:AG26)</f>
        <v>142.5</v>
      </c>
      <c r="AH27" s="11">
        <f>AG27/$AG$36</f>
        <v>1</v>
      </c>
    </row>
    <row r="28" spans="1:34" ht="19.5" x14ac:dyDescent="0.3">
      <c r="A28" s="36" t="s">
        <v>49</v>
      </c>
      <c r="B28" s="36"/>
      <c r="C28" s="3">
        <f>7.5-C27</f>
        <v>0</v>
      </c>
      <c r="D28" s="6"/>
      <c r="E28" s="6"/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3">
        <f>7.5-J27</f>
        <v>0</v>
      </c>
      <c r="K28" s="6"/>
      <c r="L28" s="6"/>
      <c r="M28" s="9"/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6"/>
      <c r="S28" s="6"/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6"/>
      <c r="Z28" s="6"/>
      <c r="AA28" s="9"/>
      <c r="AB28" s="3">
        <f>7.5-AB27</f>
        <v>0</v>
      </c>
      <c r="AC28" s="3">
        <f>7.5-AC27</f>
        <v>0</v>
      </c>
      <c r="AD28" s="3">
        <f>7.5-AD27</f>
        <v>0</v>
      </c>
      <c r="AE28" s="3">
        <f>7.5-AE27</f>
        <v>0</v>
      </c>
      <c r="AF28" s="6"/>
      <c r="AG28" s="3">
        <f t="shared" ref="AG28:AG34" si="0">SUM(C28:AF28)</f>
        <v>0</v>
      </c>
    </row>
    <row r="29" spans="1:34" ht="19.5" x14ac:dyDescent="0.3">
      <c r="A29" s="36"/>
      <c r="B29" s="36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36"/>
      <c r="B30" s="36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36"/>
      <c r="B31" s="36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36" t="s">
        <v>50</v>
      </c>
      <c r="B32" s="36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0"/>
        <v>0</v>
      </c>
    </row>
    <row r="33" spans="1:33" ht="19.5" x14ac:dyDescent="0.3">
      <c r="A33" s="36" t="s">
        <v>51</v>
      </c>
      <c r="B33" s="36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3"/>
      <c r="AF33" s="6"/>
      <c r="AG33" s="3">
        <f t="shared" si="0"/>
        <v>0</v>
      </c>
    </row>
    <row r="34" spans="1:33" ht="19.5" x14ac:dyDescent="0.3">
      <c r="A34" s="36" t="s">
        <v>52</v>
      </c>
      <c r="B34" s="36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3"/>
      <c r="AC34" s="3"/>
      <c r="AD34" s="3"/>
      <c r="AE34" s="3"/>
      <c r="AF34" s="6"/>
      <c r="AG34" s="3">
        <f t="shared" si="0"/>
        <v>0</v>
      </c>
    </row>
    <row r="35" spans="1:33" ht="19.5" x14ac:dyDescent="0.3">
      <c r="A35" s="12" t="s">
        <v>53</v>
      </c>
      <c r="B35" s="12"/>
      <c r="C35" s="4">
        <f>SUM(C27:C31)</f>
        <v>7.5</v>
      </c>
      <c r="D35" s="7"/>
      <c r="E35" s="7"/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4">
        <f>SUM(J27:J31)</f>
        <v>7.5</v>
      </c>
      <c r="K35" s="7"/>
      <c r="L35" s="7"/>
      <c r="M35" s="10"/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7"/>
      <c r="S35" s="7"/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7"/>
      <c r="Z35" s="7"/>
      <c r="AA35" s="10"/>
      <c r="AB35" s="4">
        <f>SUM(AB27:AB31)</f>
        <v>7.5</v>
      </c>
      <c r="AC35" s="4">
        <f>SUM(AC27:AC31)</f>
        <v>7.5</v>
      </c>
      <c r="AD35" s="4">
        <f>SUM(AD27:AD31)</f>
        <v>7.5</v>
      </c>
      <c r="AE35" s="4">
        <f>SUM(AE27:AE31)</f>
        <v>7.5</v>
      </c>
      <c r="AF35" s="7"/>
      <c r="AG35" s="4">
        <f>SUM(AG27:AG31)</f>
        <v>142.5</v>
      </c>
    </row>
    <row r="36" spans="1:33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">
        <f>SUM(AG32:AG35)</f>
        <v>142.5</v>
      </c>
    </row>
    <row r="39" spans="1:33" x14ac:dyDescent="0.25">
      <c r="A39" s="30" t="s">
        <v>55</v>
      </c>
      <c r="B39" s="30" t="s">
        <v>56</v>
      </c>
      <c r="W39" s="38" t="s">
        <v>57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3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3" ht="19.5" x14ac:dyDescent="0.25">
      <c r="A41" s="31"/>
      <c r="B41" s="14"/>
      <c r="W41" s="44"/>
      <c r="X41" s="45"/>
      <c r="Y41" s="45"/>
      <c r="Z41" s="45"/>
      <c r="AA41" s="46"/>
      <c r="AB41" s="47" t="s">
        <v>58</v>
      </c>
      <c r="AC41" s="45"/>
      <c r="AD41" s="45"/>
      <c r="AE41" s="46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Hernan Figueroa</cp:lastModifiedBy>
  <dcterms:created xsi:type="dcterms:W3CDTF">2024-01-22T13:49:08Z</dcterms:created>
  <dcterms:modified xsi:type="dcterms:W3CDTF">2024-01-25T16:48:01Z</dcterms:modified>
  <cp:category/>
</cp:coreProperties>
</file>