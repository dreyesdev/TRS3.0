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7A2BF142-417D-4453-BBBE-98A367D8F12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T25" i="1"/>
  <c r="N25" i="1"/>
  <c r="F25" i="1"/>
  <c r="AH24" i="1"/>
  <c r="AH32" i="1"/>
  <c r="AH31" i="1"/>
  <c r="AH30" i="1"/>
  <c r="AH29" i="1"/>
  <c r="AH28" i="1"/>
  <c r="AH27" i="1"/>
  <c r="AE25" i="1"/>
  <c r="AE26" i="1" s="1"/>
  <c r="AE33" i="1" s="1"/>
  <c r="AD25" i="1"/>
  <c r="AD26" i="1" s="1"/>
  <c r="AD33" i="1" s="1"/>
  <c r="AC25" i="1"/>
  <c r="W25" i="1"/>
  <c r="W26" i="1" s="1"/>
  <c r="W33" i="1" s="1"/>
  <c r="V25" i="1"/>
  <c r="V26" i="1" s="1"/>
  <c r="V33" i="1" s="1"/>
  <c r="U25" i="1"/>
  <c r="Q25" i="1"/>
  <c r="Q26" i="1" s="1"/>
  <c r="Q33" i="1" s="1"/>
  <c r="P25" i="1"/>
  <c r="P26" i="1" s="1"/>
  <c r="P33" i="1" s="1"/>
  <c r="O25" i="1"/>
  <c r="M25" i="1"/>
  <c r="M26" i="1" s="1"/>
  <c r="M33" i="1" s="1"/>
  <c r="I25" i="1"/>
  <c r="I26" i="1" s="1"/>
  <c r="I33" i="1" s="1"/>
  <c r="G25" i="1"/>
  <c r="C25" i="1"/>
  <c r="C26" i="1" s="1"/>
  <c r="C33" i="1" s="1"/>
  <c r="AH23" i="1"/>
  <c r="AH25" i="1" l="1"/>
  <c r="P16" i="1" s="1"/>
  <c r="X16" i="1" s="1"/>
  <c r="F26" i="1"/>
  <c r="F33" i="1" s="1"/>
  <c r="N26" i="1"/>
  <c r="N33" i="1" s="1"/>
  <c r="T26" i="1"/>
  <c r="T33" i="1" s="1"/>
  <c r="X26" i="1"/>
  <c r="X33" i="1" s="1"/>
  <c r="G26" i="1"/>
  <c r="O26" i="1"/>
  <c r="O33" i="1" s="1"/>
  <c r="U26" i="1"/>
  <c r="U33" i="1" s="1"/>
  <c r="AC26" i="1"/>
  <c r="AC33" i="1" s="1"/>
  <c r="AH26" i="1" l="1"/>
  <c r="AH33" i="1" s="1"/>
  <c r="H16" i="1" s="1"/>
  <c r="G33" i="1"/>
  <c r="AH34" i="1" l="1"/>
  <c r="AI25" i="1" s="1"/>
  <c r="AI24" i="1" l="1"/>
  <c r="AI2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<sst xmlns="http://schemas.openxmlformats.org/spreadsheetml/2006/main" count="79" uniqueCount="54">
  <si>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</si>
  <si>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</si>
  <si>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</si>
  <si>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</si>
  <si>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</si>
  <si>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</si>
  <si>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</si>
  <si>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</si>
  <si>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</si>
  <si>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</si>
  <si>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</si>
  <si>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</si>
  <si>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</si>
  <si>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</si>
  <si>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</si>
  <si>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</si>
  <si>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</si>
  <si>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</si>
  <si>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</si>
  <si>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</si>
  <si>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</si>
  <si>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</si>
  <si>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</si>
  <si>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</si>
  <si>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</si>
  <si>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</si>
  <si>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</si>
  <si>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</si>
  <si>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</si>
  <si>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</si>
  <si>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</si>
  <si>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</si>
  <si>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</si>
  <si>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</si>
  <si>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</si>
  <si>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</si>
  <si>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</si>
  <si>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</si>
  <si>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</si>
  <si>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</si>
  <si>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</si>
  <si>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Estimated:25.5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</si>
  <si>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</si>
  <si>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Estimated:102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</si>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</sst>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127.5</v>
      </c>
      <c r="I16" s="25"/>
      <c r="K16" s="24" t="s">
        <v>18</v>
      </c>
      <c r="L16" s="16"/>
      <c r="M16" s="16"/>
      <c r="N16" s="16"/>
      <c r="O16" s="16"/>
      <c r="P16" s="25">
        <f>AH25</f>
        <v>127.5</v>
      </c>
      <c r="Q16" s="25"/>
      <c r="S16" s="24" t="s">
        <v>19</v>
      </c>
      <c r="T16" s="16"/>
      <c r="U16" s="16"/>
      <c r="V16" s="16"/>
      <c r="W16" s="16"/>
      <c r="X16" s="25">
        <f>(P16/7.5) *1</f>
        <v>17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29" t="s">
        <v>36</v>
      </c>
      <c r="AI19" s="30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6"/>
      <c r="G21" s="26"/>
      <c r="H21" s="28"/>
      <c r="I21" s="26"/>
      <c r="J21" s="28"/>
      <c r="K21" s="27"/>
      <c r="L21" s="27"/>
      <c r="M21" s="26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8"/>
      <c r="AC21" s="26"/>
      <c r="AD21" s="26"/>
      <c r="AE21" s="26"/>
      <c r="AF21" s="27"/>
      <c r="AG21" s="27"/>
      <c r="AH21" s="26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6"/>
      <c r="G22" s="26"/>
      <c r="H22" s="28"/>
      <c r="I22" s="26"/>
      <c r="J22" s="28"/>
      <c r="K22" s="27"/>
      <c r="L22" s="27"/>
      <c r="M22" s="26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8"/>
      <c r="AC22" s="26"/>
      <c r="AD22" s="26"/>
      <c r="AE22" s="26"/>
      <c r="AF22" s="27"/>
      <c r="AG22" s="27"/>
      <c r="AH22" s="26"/>
      <c r="AI22" s="32"/>
    </row>
    <row r="23" spans="1:35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3.5</v>
      </c>
      <c r="G23" s="3">
        <v>4.5</v>
      </c>
      <c r="H23" s="9"/>
      <c r="I23" s="3">
        <v>0</v>
      </c>
      <c r="J23" s="9"/>
      <c r="K23" s="6"/>
      <c r="L23" s="6"/>
      <c r="M23" s="3">
        <v>1.5</v>
      </c>
      <c r="N23" s="3">
        <v>2.5</v>
      </c>
      <c r="O23" s="3">
        <v>2.5</v>
      </c>
      <c r="P23" s="3">
        <v>3</v>
      </c>
      <c r="Q23" s="3">
        <v>0</v>
      </c>
      <c r="R23" s="6"/>
      <c r="S23" s="6"/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6"/>
      <c r="Z23" s="6"/>
      <c r="AA23" s="9"/>
      <c r="AB23" s="9"/>
      <c r="AC23" s="3">
        <v>0</v>
      </c>
      <c r="AD23" s="3">
        <v>0</v>
      </c>
      <c r="AE23" s="3">
        <v>0</v>
      </c>
      <c r="AF23" s="6"/>
      <c r="AG23" s="6"/>
      <c r="AH23" s="3">
        <f>SUM(C23:AG23)</f>
        <v>25</v>
      </c>
      <c r="AI23" s="13">
        <f>AH23/$AH$34</f>
        <v>0.19607843137254902</v>
      </c>
    </row>
    <row r="24" spans="1:35" ht="19.5" x14ac:dyDescent="0.3">
      <c r="A24" s="12" t="s">
        <v>42</v>
      </c>
      <c r="B24" s="12" t="s">
        <v>43</v>
      </c>
      <c r="C24" s="3"/>
      <c r="D24" s="6"/>
      <c r="E24" s="6"/>
      <c r="F24" s="3">
        <v>4</v>
      </c>
      <c r="G24" s="3">
        <v>3</v>
      </c>
      <c r="H24" s="9"/>
      <c r="I24" s="3">
        <v>7.5</v>
      </c>
      <c r="J24" s="9"/>
      <c r="K24" s="6"/>
      <c r="L24" s="6"/>
      <c r="M24" s="3">
        <v>6</v>
      </c>
      <c r="N24" s="3">
        <v>5</v>
      </c>
      <c r="O24" s="3">
        <v>5</v>
      </c>
      <c r="P24" s="3">
        <v>4.5</v>
      </c>
      <c r="Q24" s="3">
        <v>7.5</v>
      </c>
      <c r="R24" s="6"/>
      <c r="S24" s="6"/>
      <c r="T24" s="3">
        <v>7.5</v>
      </c>
      <c r="U24" s="3">
        <v>7.5</v>
      </c>
      <c r="V24" s="3">
        <v>7.5</v>
      </c>
      <c r="W24" s="3">
        <v>7.5</v>
      </c>
      <c r="X24" s="3">
        <v>7.5</v>
      </c>
      <c r="Y24" s="6"/>
      <c r="Z24" s="6"/>
      <c r="AA24" s="9"/>
      <c r="AB24" s="9"/>
      <c r="AC24" s="3">
        <v>7.5</v>
      </c>
      <c r="AD24" s="3">
        <v>7.5</v>
      </c>
      <c r="AE24" s="3">
        <v>7.5</v>
      </c>
      <c r="AF24" s="6"/>
      <c r="AG24" s="6"/>
      <c r="AH24" s="3">
        <f>SUM(C24:AG24)</f>
        <v>102.5</v>
      </c>
      <c r="AI24" s="13">
        <f>AH24/$AH$34</f>
        <v>0.80392156862745101</v>
      </c>
    </row>
    <row r="25" spans="1:35" ht="19.5" x14ac:dyDescent="0.3">
      <c r="A25" s="34" t="s">
        <v>44</v>
      </c>
      <c r="B25" s="35"/>
      <c r="C25" s="4">
        <f>SUM(C23:C24)</f>
        <v>7.5</v>
      </c>
      <c r="D25" s="7"/>
      <c r="E25" s="7"/>
      <c r="F25" s="4">
        <f>SUM(F23:F24)</f>
        <v>7.5</v>
      </c>
      <c r="G25" s="4">
        <f>SUM(G23:G24)</f>
        <v>7.5</v>
      </c>
      <c r="H25" s="10"/>
      <c r="I25" s="4">
        <f>SUM(I23:I24)</f>
        <v>7.5</v>
      </c>
      <c r="J25" s="10"/>
      <c r="K25" s="7"/>
      <c r="L25" s="7"/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7"/>
      <c r="S25" s="7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7"/>
      <c r="Z25" s="7"/>
      <c r="AA25" s="10"/>
      <c r="AB25" s="10"/>
      <c r="AC25" s="4">
        <f>SUM(AC23:AC24)</f>
        <v>7.5</v>
      </c>
      <c r="AD25" s="4">
        <f>SUM(AD23:AD24)</f>
        <v>7.5</v>
      </c>
      <c r="AE25" s="4">
        <f>SUM(AE23:AE24)</f>
        <v>7.5</v>
      </c>
      <c r="AF25" s="7"/>
      <c r="AG25" s="7"/>
      <c r="AH25" s="4">
        <f>SUM(AH23:AH24)</f>
        <v>127.5</v>
      </c>
      <c r="AI25" s="11">
        <f>AH25/$AH$34</f>
        <v>1</v>
      </c>
    </row>
    <row r="26" spans="1:35" ht="19.5" x14ac:dyDescent="0.3">
      <c r="A26" s="36" t="s">
        <v>45</v>
      </c>
      <c r="B26" s="36"/>
      <c r="C26" s="3">
        <f>7.5-C25</f>
        <v>0</v>
      </c>
      <c r="D26" s="6"/>
      <c r="E26" s="6"/>
      <c r="F26" s="3">
        <f>7.5-F25</f>
        <v>0</v>
      </c>
      <c r="G26" s="3">
        <f>7.5-G25</f>
        <v>0</v>
      </c>
      <c r="H26" s="9"/>
      <c r="I26" s="3">
        <f>7.5-I25</f>
        <v>0</v>
      </c>
      <c r="J26" s="9"/>
      <c r="K26" s="6"/>
      <c r="L26" s="6"/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6"/>
      <c r="S26" s="6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6"/>
      <c r="Z26" s="6"/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6"/>
      <c r="AG26" s="6"/>
      <c r="AH26" s="3">
        <f t="shared" ref="AH26:AH32" si="0">SUM(C26:AG26)</f>
        <v>0</v>
      </c>
    </row>
    <row r="27" spans="1:35" ht="19.5" x14ac:dyDescent="0.3">
      <c r="A27" s="36"/>
      <c r="B27" s="36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9"/>
      <c r="AC27" s="3"/>
      <c r="AD27" s="3"/>
      <c r="AE27" s="3"/>
      <c r="AF27" s="6"/>
      <c r="AG27" s="6"/>
      <c r="AH27" s="3">
        <f t="shared" si="0"/>
        <v>0</v>
      </c>
    </row>
    <row r="28" spans="1:35" ht="19.5" x14ac:dyDescent="0.3">
      <c r="A28" s="36"/>
      <c r="B28" s="36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3"/>
      <c r="AD28" s="3"/>
      <c r="AE28" s="3"/>
      <c r="AF28" s="6"/>
      <c r="AG28" s="6"/>
      <c r="AH28" s="3">
        <f t="shared" si="0"/>
        <v>0</v>
      </c>
    </row>
    <row r="29" spans="1:35" ht="19.5" x14ac:dyDescent="0.3">
      <c r="A29" s="36"/>
      <c r="B29" s="36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3"/>
      <c r="AD29" s="3"/>
      <c r="AE29" s="3"/>
      <c r="AF29" s="6"/>
      <c r="AG29" s="6"/>
      <c r="AH29" s="3">
        <f t="shared" si="0"/>
        <v>0</v>
      </c>
    </row>
    <row r="30" spans="1:35" ht="19.5" x14ac:dyDescent="0.3">
      <c r="A30" s="36" t="s">
        <v>46</v>
      </c>
      <c r="B30" s="36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3"/>
      <c r="AD30" s="3"/>
      <c r="AE30" s="3"/>
      <c r="AF30" s="6"/>
      <c r="AG30" s="6"/>
      <c r="AH30" s="3">
        <f t="shared" si="0"/>
        <v>0</v>
      </c>
    </row>
    <row r="31" spans="1:35" ht="19.5" x14ac:dyDescent="0.3">
      <c r="A31" s="36" t="s">
        <v>47</v>
      </c>
      <c r="B31" s="36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0"/>
        <v>0</v>
      </c>
    </row>
    <row r="32" spans="1:35" ht="19.5" x14ac:dyDescent="0.3">
      <c r="A32" s="36" t="s">
        <v>48</v>
      </c>
      <c r="B32" s="36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7"/>
      <c r="E33" s="7"/>
      <c r="F33" s="4">
        <f>SUM(F25:F29)</f>
        <v>7.5</v>
      </c>
      <c r="G33" s="4">
        <f>SUM(G25:G29)</f>
        <v>7.5</v>
      </c>
      <c r="H33" s="10"/>
      <c r="I33" s="4">
        <f>SUM(I25:I29)</f>
        <v>7.5</v>
      </c>
      <c r="J33" s="10"/>
      <c r="K33" s="7"/>
      <c r="L33" s="7"/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7"/>
      <c r="S33" s="7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7"/>
      <c r="Z33" s="7"/>
      <c r="AA33" s="10"/>
      <c r="AB33" s="10"/>
      <c r="AC33" s="4">
        <f>SUM(AC25:AC29)</f>
        <v>7.5</v>
      </c>
      <c r="AD33" s="4">
        <f>SUM(AD25:AD29)</f>
        <v>7.5</v>
      </c>
      <c r="AE33" s="4">
        <f>SUM(AE25:AE29)</f>
        <v>7.5</v>
      </c>
      <c r="AF33" s="7"/>
      <c r="AG33" s="7"/>
      <c r="AH33" s="4">
        <f>SUM(AH25:AH29)</f>
        <v>127.5</v>
      </c>
    </row>
    <row r="34" spans="1:34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127.5</v>
      </c>
    </row>
    <row r="37" spans="1:34" x14ac:dyDescent="0.25">
      <c r="A37" s="30" t="s">
        <v>51</v>
      </c>
      <c r="B37" s="48" t="s">
        <v>53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25">
      <c r="A39" s="31"/>
      <c r="B39" s="14">
        <v>45294</v>
      </c>
      <c r="W39" s="44"/>
      <c r="X39" s="45"/>
      <c r="Y39" s="45"/>
      <c r="Z39" s="45"/>
      <c r="AA39" s="46"/>
      <c r="AB39" s="47">
        <v>45294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2024-05-28T05:03:07Z</dcterms:created>
  <dcterms:modified xsi:type="dcterms:W3CDTF">2024-05-28T07:17:18Z</dcterms:modified>
  <cp:category/>
</cp:coreProperties>
</file>