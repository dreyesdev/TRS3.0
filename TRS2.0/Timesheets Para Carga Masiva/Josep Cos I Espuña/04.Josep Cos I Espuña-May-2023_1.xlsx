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Impetus4Change\Timesheets\Josep Cos I Espuña\"/>
    </mc:Choice>
  </mc:AlternateContent>
  <xr:revisionPtr revIDLastSave="0" documentId="13_ncr:1_{9B966063-1120-476F-B841-3F82350591D2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2" i="1" l="1"/>
  <c r="AH31" i="1"/>
  <c r="AH30" i="1"/>
  <c r="AH29" i="1"/>
  <c r="AH28" i="1"/>
  <c r="AH27" i="1"/>
  <c r="AG25" i="1"/>
  <c r="AF25" i="1"/>
  <c r="AF26" i="1" s="1"/>
  <c r="AE25" i="1"/>
  <c r="AB25" i="1"/>
  <c r="AA25" i="1"/>
  <c r="Z25" i="1"/>
  <c r="Z26" i="1" s="1"/>
  <c r="Y25" i="1"/>
  <c r="X25" i="1"/>
  <c r="U25" i="1"/>
  <c r="T25" i="1"/>
  <c r="T26" i="1" s="1"/>
  <c r="S25" i="1"/>
  <c r="R25" i="1"/>
  <c r="Q25" i="1"/>
  <c r="N25" i="1"/>
  <c r="N26" i="1" s="1"/>
  <c r="M25" i="1"/>
  <c r="L25" i="1"/>
  <c r="K25" i="1"/>
  <c r="J25" i="1"/>
  <c r="J26" i="1" s="1"/>
  <c r="G25" i="1"/>
  <c r="F25" i="1"/>
  <c r="E25" i="1"/>
  <c r="D25" i="1"/>
  <c r="D26" i="1" s="1"/>
  <c r="AH24" i="1"/>
  <c r="AH23" i="1"/>
  <c r="AH25" i="1" l="1"/>
  <c r="P16" i="1"/>
  <c r="X16" i="1" s="1"/>
  <c r="E26" i="1"/>
  <c r="E33" i="1" s="1"/>
  <c r="K26" i="1"/>
  <c r="K33" i="1" s="1"/>
  <c r="Q26" i="1"/>
  <c r="Q33" i="1" s="1"/>
  <c r="U26" i="1"/>
  <c r="U33" i="1" s="1"/>
  <c r="AA26" i="1"/>
  <c r="AA33" i="1" s="1"/>
  <c r="AG26" i="1"/>
  <c r="AG33" i="1" s="1"/>
  <c r="D33" i="1"/>
  <c r="J33" i="1"/>
  <c r="N33" i="1"/>
  <c r="T33" i="1"/>
  <c r="Z33" i="1"/>
  <c r="AF33" i="1"/>
  <c r="F26" i="1"/>
  <c r="F33" i="1" s="1"/>
  <c r="L26" i="1"/>
  <c r="L33" i="1" s="1"/>
  <c r="R26" i="1"/>
  <c r="R33" i="1" s="1"/>
  <c r="X26" i="1"/>
  <c r="X33" i="1" s="1"/>
  <c r="AB26" i="1"/>
  <c r="AB33" i="1" s="1"/>
  <c r="G26" i="1"/>
  <c r="G33" i="1" s="1"/>
  <c r="M26" i="1"/>
  <c r="M33" i="1" s="1"/>
  <c r="S26" i="1"/>
  <c r="S33" i="1" s="1"/>
  <c r="Y26" i="1"/>
  <c r="Y33" i="1" s="1"/>
  <c r="AE26" i="1"/>
  <c r="AE33" i="1" s="1"/>
  <c r="AH26" i="1" l="1"/>
  <c r="AH33" i="1" s="1"/>
  <c r="H16" i="1" l="1"/>
  <c r="AH34" i="1"/>
  <c r="AI25" i="1" l="1"/>
  <c r="AI24" i="1"/>
  <c r="AI23" i="1"/>
</calcChain>
</file>

<file path=xl/sharedStrings.xml><?xml version="1.0" encoding="utf-8"?>
<sst xmlns="http://schemas.openxmlformats.org/spreadsheetml/2006/main" count="80" uniqueCount="55">
  <si>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</si>
  <si>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</si>
  <si>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</si>
  <si>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</si>
  <si>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</si>
  <si>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</si>
  <si>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</si>
  <si>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</si>
  <si>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</si>
  <si>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Josep Cos I Espuña</t>
  </si>
  <si>
    <t>R1 (first Stage Researcher) - Part Time</t>
  </si>
  <si>
    <t>May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</si>
  <si>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</si>
  <si>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</si>
  <si>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</si>
  <si>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</si>
  <si>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</si>
  <si>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</si>
  <si>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</si>
  <si>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</si>
  <si>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</si>
  <si>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</si>
  <si>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</si>
  <si>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</si>
  <si>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</si>
  <si>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</si>
  <si>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</si>
  <si>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</si>
  <si>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</si>
  <si>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</si>
  <si>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</si>
  <si>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</si>
  <si>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</si>
  <si>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</si>
  <si>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</si>
  <si>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</si>
  <si>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</si>
  <si>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</si>
  <si>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</si>
  <si>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</si>
  <si>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PE114200 Impetus4Change - WP06 Co-production of I4C Demonstrators</t>
  </si>
  <si>
    <t>Dedicacion: 20% Estimated:33 h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</si>
  <si>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</si>
  <si>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>Dedicacion: 80% Estimated:132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</si>
  <si>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</si>
  <si>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</si>
  <si>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</si>
  <si>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</si>
  <si>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</si>
  <si>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</si>
  <si>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</si>
  <si>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</si>
  <si>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 xml:space="preserve">Date and signature of staff member:	</t>
  </si>
  <si>
    <t>2023-06-06</t>
  </si>
  <si>
    <t>Albert Soret Miravet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</si>
</sst>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b/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9"/>
  <sheetViews>
    <sheetView tabSelected="1" zoomScale="60" zoomScaleNormal="60" workbookViewId="0">
      <selection activeCell="D24" sqref="D24:AG24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AH33</f>
        <v>165</v>
      </c>
      <c r="I16" s="25"/>
      <c r="K16" s="24" t="s">
        <v>18</v>
      </c>
      <c r="L16" s="16"/>
      <c r="M16" s="16"/>
      <c r="N16" s="16"/>
      <c r="O16" s="16"/>
      <c r="P16" s="25">
        <f>AH25</f>
        <v>165</v>
      </c>
      <c r="Q16" s="25"/>
      <c r="S16" s="24" t="s">
        <v>19</v>
      </c>
      <c r="T16" s="16"/>
      <c r="U16" s="16"/>
      <c r="V16" s="16"/>
      <c r="W16" s="16"/>
      <c r="X16" s="25">
        <f>(P16/7.5) *1</f>
        <v>22</v>
      </c>
      <c r="Y16" s="25"/>
    </row>
    <row r="19" spans="1:35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8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8" t="s">
        <v>30</v>
      </c>
      <c r="P19" s="8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8" t="s">
        <v>30</v>
      </c>
      <c r="W19" s="8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8" t="s">
        <v>30</v>
      </c>
      <c r="AD19" s="8" t="s">
        <v>32</v>
      </c>
      <c r="AE19" s="2" t="s">
        <v>20</v>
      </c>
      <c r="AF19" s="2" t="s">
        <v>22</v>
      </c>
      <c r="AG19" s="2" t="s">
        <v>24</v>
      </c>
      <c r="AH19" s="29" t="s">
        <v>36</v>
      </c>
      <c r="AI19" s="30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8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8">
        <v>13</v>
      </c>
      <c r="P20" s="8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8">
        <v>20</v>
      </c>
      <c r="W20" s="8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8">
        <v>27</v>
      </c>
      <c r="AD20" s="8">
        <v>28</v>
      </c>
      <c r="AE20" s="2">
        <v>29</v>
      </c>
      <c r="AF20" s="2">
        <v>30</v>
      </c>
      <c r="AG20" s="2">
        <v>31</v>
      </c>
      <c r="AH20" s="29"/>
      <c r="AI20" s="31"/>
    </row>
    <row r="21" spans="1:35" ht="19.5" x14ac:dyDescent="0.3">
      <c r="A21" s="17" t="s">
        <v>38</v>
      </c>
      <c r="B21" s="17"/>
      <c r="C21" s="26"/>
      <c r="D21" s="27"/>
      <c r="E21" s="27"/>
      <c r="F21" s="27"/>
      <c r="G21" s="27"/>
      <c r="H21" s="28"/>
      <c r="I21" s="28"/>
      <c r="J21" s="27"/>
      <c r="K21" s="27"/>
      <c r="L21" s="27"/>
      <c r="M21" s="27"/>
      <c r="N21" s="27"/>
      <c r="O21" s="28"/>
      <c r="P21" s="28"/>
      <c r="Q21" s="27"/>
      <c r="R21" s="27"/>
      <c r="S21" s="27"/>
      <c r="T21" s="27"/>
      <c r="U21" s="27"/>
      <c r="V21" s="28"/>
      <c r="W21" s="28"/>
      <c r="X21" s="27"/>
      <c r="Y21" s="27"/>
      <c r="Z21" s="27"/>
      <c r="AA21" s="27"/>
      <c r="AB21" s="27"/>
      <c r="AC21" s="28"/>
      <c r="AD21" s="28"/>
      <c r="AE21" s="27"/>
      <c r="AF21" s="27"/>
      <c r="AG21" s="27"/>
      <c r="AH21" s="27"/>
      <c r="AI21" s="32"/>
    </row>
    <row r="22" spans="1:35" ht="19.5" x14ac:dyDescent="0.3">
      <c r="A22" s="33" t="s">
        <v>39</v>
      </c>
      <c r="B22" s="33"/>
      <c r="C22" s="26"/>
      <c r="D22" s="27"/>
      <c r="E22" s="27"/>
      <c r="F22" s="27"/>
      <c r="G22" s="27"/>
      <c r="H22" s="28"/>
      <c r="I22" s="28"/>
      <c r="J22" s="27"/>
      <c r="K22" s="27"/>
      <c r="L22" s="27"/>
      <c r="M22" s="27"/>
      <c r="N22" s="27"/>
      <c r="O22" s="28"/>
      <c r="P22" s="28"/>
      <c r="Q22" s="27"/>
      <c r="R22" s="27"/>
      <c r="S22" s="27"/>
      <c r="T22" s="27"/>
      <c r="U22" s="27"/>
      <c r="V22" s="28"/>
      <c r="W22" s="28"/>
      <c r="X22" s="27"/>
      <c r="Y22" s="27"/>
      <c r="Z22" s="27"/>
      <c r="AA22" s="27"/>
      <c r="AB22" s="27"/>
      <c r="AC22" s="28"/>
      <c r="AD22" s="28"/>
      <c r="AE22" s="27"/>
      <c r="AF22" s="27"/>
      <c r="AG22" s="27"/>
      <c r="AH22" s="27"/>
      <c r="AI22" s="32"/>
    </row>
    <row r="23" spans="1:35" ht="19.5" x14ac:dyDescent="0.3">
      <c r="A23" s="12" t="s">
        <v>40</v>
      </c>
      <c r="B23" s="12" t="s">
        <v>41</v>
      </c>
      <c r="C23" s="6"/>
      <c r="D23" s="3">
        <v>1.5</v>
      </c>
      <c r="E23" s="3">
        <v>2</v>
      </c>
      <c r="F23" s="3">
        <v>2</v>
      </c>
      <c r="G23" s="3">
        <v>2.5</v>
      </c>
      <c r="H23" s="9"/>
      <c r="I23" s="9"/>
      <c r="J23" s="3"/>
      <c r="K23" s="3">
        <v>4</v>
      </c>
      <c r="L23" s="3">
        <v>3</v>
      </c>
      <c r="M23" s="3">
        <v>4.5</v>
      </c>
      <c r="N23" s="3"/>
      <c r="O23" s="9"/>
      <c r="P23" s="9"/>
      <c r="Q23" s="3"/>
      <c r="R23" s="3">
        <v>1.5</v>
      </c>
      <c r="S23" s="3">
        <v>2</v>
      </c>
      <c r="T23" s="3">
        <v>3</v>
      </c>
      <c r="U23" s="3"/>
      <c r="V23" s="9"/>
      <c r="W23" s="9"/>
      <c r="X23" s="3">
        <v>1</v>
      </c>
      <c r="Y23" s="3">
        <v>3.5</v>
      </c>
      <c r="Z23" s="3">
        <v>2</v>
      </c>
      <c r="AA23" s="3"/>
      <c r="AB23" s="3"/>
      <c r="AC23" s="9"/>
      <c r="AD23" s="9"/>
      <c r="AE23" s="3"/>
      <c r="AF23" s="3"/>
      <c r="AG23" s="3"/>
      <c r="AH23" s="3">
        <f>SUM(C23:AG23)</f>
        <v>32.5</v>
      </c>
      <c r="AI23" s="13">
        <f>AH23/$AH$34</f>
        <v>0.19696969696969696</v>
      </c>
    </row>
    <row r="24" spans="1:35" ht="19.5" x14ac:dyDescent="0.3">
      <c r="A24" s="12" t="s">
        <v>42</v>
      </c>
      <c r="B24" s="12" t="s">
        <v>43</v>
      </c>
      <c r="C24" s="6"/>
      <c r="D24" s="3">
        <v>6</v>
      </c>
      <c r="E24" s="3">
        <v>5.5</v>
      </c>
      <c r="F24" s="3">
        <v>5.5</v>
      </c>
      <c r="G24" s="3">
        <v>5</v>
      </c>
      <c r="H24" s="9"/>
      <c r="I24" s="9"/>
      <c r="J24" s="3">
        <v>7.5</v>
      </c>
      <c r="K24" s="3">
        <v>3.5</v>
      </c>
      <c r="L24" s="3">
        <v>4.5</v>
      </c>
      <c r="M24" s="3">
        <v>3</v>
      </c>
      <c r="N24" s="3">
        <v>7.5</v>
      </c>
      <c r="O24" s="9"/>
      <c r="P24" s="9"/>
      <c r="Q24" s="3">
        <v>7.5</v>
      </c>
      <c r="R24" s="3">
        <v>6</v>
      </c>
      <c r="S24" s="3">
        <v>5.5</v>
      </c>
      <c r="T24" s="3">
        <v>4.5</v>
      </c>
      <c r="U24" s="3">
        <v>7.5</v>
      </c>
      <c r="V24" s="9"/>
      <c r="W24" s="9"/>
      <c r="X24" s="3">
        <v>6.5</v>
      </c>
      <c r="Y24" s="3">
        <v>4</v>
      </c>
      <c r="Z24" s="3">
        <v>5.5</v>
      </c>
      <c r="AA24" s="3">
        <v>7.5</v>
      </c>
      <c r="AB24" s="3">
        <v>7.5</v>
      </c>
      <c r="AC24" s="9"/>
      <c r="AD24" s="9"/>
      <c r="AE24" s="3">
        <v>7.5</v>
      </c>
      <c r="AF24" s="3">
        <v>7.5</v>
      </c>
      <c r="AG24" s="3">
        <v>7.5</v>
      </c>
      <c r="AH24" s="3">
        <f>SUM(C24:AG24)</f>
        <v>132.5</v>
      </c>
      <c r="AI24" s="13">
        <f>AH24/$AH$34</f>
        <v>0.80303030303030298</v>
      </c>
    </row>
    <row r="25" spans="1:35" ht="19.5" x14ac:dyDescent="0.3">
      <c r="A25" s="34" t="s">
        <v>44</v>
      </c>
      <c r="B25" s="35"/>
      <c r="C25" s="7"/>
      <c r="D25" s="4">
        <f>SUM(D23:D24)</f>
        <v>7.5</v>
      </c>
      <c r="E25" s="4">
        <f>SUM(E23:E24)</f>
        <v>7.5</v>
      </c>
      <c r="F25" s="4">
        <f>SUM(F23:F24)</f>
        <v>7.5</v>
      </c>
      <c r="G25" s="4">
        <f>SUM(G23:G24)</f>
        <v>7.5</v>
      </c>
      <c r="H25" s="10"/>
      <c r="I25" s="10"/>
      <c r="J25" s="4">
        <f>SUM(J23:J24)</f>
        <v>7.5</v>
      </c>
      <c r="K25" s="4">
        <f>SUM(K23:K24)</f>
        <v>7.5</v>
      </c>
      <c r="L25" s="4">
        <f>SUM(L23:L24)</f>
        <v>7.5</v>
      </c>
      <c r="M25" s="4">
        <f>SUM(M23:M24)</f>
        <v>7.5</v>
      </c>
      <c r="N25" s="4">
        <f>SUM(N23:N24)</f>
        <v>7.5</v>
      </c>
      <c r="O25" s="10"/>
      <c r="P25" s="10"/>
      <c r="Q25" s="4">
        <f>SUM(Q23:Q24)</f>
        <v>7.5</v>
      </c>
      <c r="R25" s="4">
        <f>SUM(R23:R24)</f>
        <v>7.5</v>
      </c>
      <c r="S25" s="4">
        <f>SUM(S23:S24)</f>
        <v>7.5</v>
      </c>
      <c r="T25" s="4">
        <f>SUM(T23:T24)</f>
        <v>7.5</v>
      </c>
      <c r="U25" s="4">
        <f>SUM(U23:U24)</f>
        <v>7.5</v>
      </c>
      <c r="V25" s="10"/>
      <c r="W25" s="10"/>
      <c r="X25" s="4">
        <f>SUM(X23:X24)</f>
        <v>7.5</v>
      </c>
      <c r="Y25" s="4">
        <f>SUM(Y23:Y24)</f>
        <v>7.5</v>
      </c>
      <c r="Z25" s="4">
        <f>SUM(Z23:Z24)</f>
        <v>7.5</v>
      </c>
      <c r="AA25" s="4">
        <f>SUM(AA23:AA24)</f>
        <v>7.5</v>
      </c>
      <c r="AB25" s="4">
        <f>SUM(AB23:AB24)</f>
        <v>7.5</v>
      </c>
      <c r="AC25" s="10"/>
      <c r="AD25" s="10"/>
      <c r="AE25" s="4">
        <f>SUM(AE23:AE24)</f>
        <v>7.5</v>
      </c>
      <c r="AF25" s="4">
        <f>SUM(AF23:AF24)</f>
        <v>7.5</v>
      </c>
      <c r="AG25" s="4">
        <f>SUM(AG23:AG24)</f>
        <v>7.5</v>
      </c>
      <c r="AH25" s="4">
        <f>SUM(AH23:AH24)</f>
        <v>165</v>
      </c>
      <c r="AI25" s="11">
        <f>AH25/$AH$34</f>
        <v>1</v>
      </c>
    </row>
    <row r="26" spans="1:35" ht="19.5" x14ac:dyDescent="0.3">
      <c r="A26" s="36" t="s">
        <v>45</v>
      </c>
      <c r="B26" s="36"/>
      <c r="C26" s="6"/>
      <c r="D26" s="3">
        <f>7.5-D25</f>
        <v>0</v>
      </c>
      <c r="E26" s="3">
        <f>7.5-E25</f>
        <v>0</v>
      </c>
      <c r="F26" s="3">
        <f>7.5-F25</f>
        <v>0</v>
      </c>
      <c r="G26" s="3">
        <f>7.5-G25</f>
        <v>0</v>
      </c>
      <c r="H26" s="9"/>
      <c r="I26" s="9"/>
      <c r="J26" s="3">
        <f>7.5-J25</f>
        <v>0</v>
      </c>
      <c r="K26" s="3">
        <f>7.5-K25</f>
        <v>0</v>
      </c>
      <c r="L26" s="3">
        <f>7.5-L25</f>
        <v>0</v>
      </c>
      <c r="M26" s="3">
        <f>7.5-M25</f>
        <v>0</v>
      </c>
      <c r="N26" s="3">
        <f>7.5-N25</f>
        <v>0</v>
      </c>
      <c r="O26" s="9"/>
      <c r="P26" s="9"/>
      <c r="Q26" s="3">
        <f>7.5-Q25</f>
        <v>0</v>
      </c>
      <c r="R26" s="3">
        <f>7.5-R25</f>
        <v>0</v>
      </c>
      <c r="S26" s="3">
        <f>7.5-S25</f>
        <v>0</v>
      </c>
      <c r="T26" s="3">
        <f>7.5-T25</f>
        <v>0</v>
      </c>
      <c r="U26" s="3">
        <f>7.5-U25</f>
        <v>0</v>
      </c>
      <c r="V26" s="9"/>
      <c r="W26" s="9"/>
      <c r="X26" s="3">
        <f>7.5-X25</f>
        <v>0</v>
      </c>
      <c r="Y26" s="3">
        <f>7.5-Y25</f>
        <v>0</v>
      </c>
      <c r="Z26" s="3">
        <f>7.5-Z25</f>
        <v>0</v>
      </c>
      <c r="AA26" s="3">
        <f>7.5-AA25</f>
        <v>0</v>
      </c>
      <c r="AB26" s="3">
        <f>7.5-AB25</f>
        <v>0</v>
      </c>
      <c r="AC26" s="9"/>
      <c r="AD26" s="9"/>
      <c r="AE26" s="3">
        <f>7.5-AE25</f>
        <v>0</v>
      </c>
      <c r="AF26" s="3">
        <f>7.5-AF25</f>
        <v>0</v>
      </c>
      <c r="AG26" s="3">
        <f>7.5-AG25</f>
        <v>0</v>
      </c>
      <c r="AH26" s="3">
        <f t="shared" ref="AH26:AH32" si="0">SUM(C26:AG26)</f>
        <v>0</v>
      </c>
    </row>
    <row r="27" spans="1:35" ht="19.5" x14ac:dyDescent="0.3">
      <c r="A27" s="36"/>
      <c r="B27" s="36"/>
      <c r="C27" s="6"/>
      <c r="D27" s="3"/>
      <c r="E27" s="3"/>
      <c r="F27" s="3"/>
      <c r="G27" s="3"/>
      <c r="H27" s="9"/>
      <c r="I27" s="9"/>
      <c r="J27" s="3"/>
      <c r="K27" s="3"/>
      <c r="L27" s="3"/>
      <c r="M27" s="3"/>
      <c r="N27" s="3"/>
      <c r="O27" s="9"/>
      <c r="P27" s="9"/>
      <c r="Q27" s="3"/>
      <c r="R27" s="3"/>
      <c r="S27" s="3"/>
      <c r="T27" s="3"/>
      <c r="U27" s="3"/>
      <c r="V27" s="9"/>
      <c r="W27" s="9"/>
      <c r="X27" s="3"/>
      <c r="Y27" s="3"/>
      <c r="Z27" s="3"/>
      <c r="AA27" s="3"/>
      <c r="AB27" s="3"/>
      <c r="AC27" s="9"/>
      <c r="AD27" s="9"/>
      <c r="AE27" s="3"/>
      <c r="AF27" s="3"/>
      <c r="AG27" s="3"/>
      <c r="AH27" s="3">
        <f t="shared" si="0"/>
        <v>0</v>
      </c>
    </row>
    <row r="28" spans="1:35" ht="19.5" x14ac:dyDescent="0.3">
      <c r="A28" s="36"/>
      <c r="B28" s="36"/>
      <c r="C28" s="6"/>
      <c r="D28" s="3"/>
      <c r="E28" s="3"/>
      <c r="F28" s="3"/>
      <c r="G28" s="3"/>
      <c r="H28" s="9"/>
      <c r="I28" s="9"/>
      <c r="J28" s="3"/>
      <c r="K28" s="3"/>
      <c r="L28" s="3"/>
      <c r="M28" s="3"/>
      <c r="N28" s="3"/>
      <c r="O28" s="9"/>
      <c r="P28" s="9"/>
      <c r="Q28" s="3"/>
      <c r="R28" s="3"/>
      <c r="S28" s="3"/>
      <c r="T28" s="3"/>
      <c r="U28" s="3"/>
      <c r="V28" s="9"/>
      <c r="W28" s="9"/>
      <c r="X28" s="3"/>
      <c r="Y28" s="3"/>
      <c r="Z28" s="3"/>
      <c r="AA28" s="3"/>
      <c r="AB28" s="3"/>
      <c r="AC28" s="9"/>
      <c r="AD28" s="9"/>
      <c r="AE28" s="3"/>
      <c r="AF28" s="3"/>
      <c r="AG28" s="3"/>
      <c r="AH28" s="3">
        <f t="shared" si="0"/>
        <v>0</v>
      </c>
    </row>
    <row r="29" spans="1:35" ht="19.5" x14ac:dyDescent="0.3">
      <c r="A29" s="36"/>
      <c r="B29" s="36"/>
      <c r="C29" s="6"/>
      <c r="D29" s="3"/>
      <c r="E29" s="3"/>
      <c r="F29" s="3"/>
      <c r="G29" s="3"/>
      <c r="H29" s="9"/>
      <c r="I29" s="9"/>
      <c r="J29" s="3"/>
      <c r="K29" s="3"/>
      <c r="L29" s="3"/>
      <c r="M29" s="3"/>
      <c r="N29" s="3"/>
      <c r="O29" s="9"/>
      <c r="P29" s="9"/>
      <c r="Q29" s="3"/>
      <c r="R29" s="3"/>
      <c r="S29" s="3"/>
      <c r="T29" s="3"/>
      <c r="U29" s="3"/>
      <c r="V29" s="9"/>
      <c r="W29" s="9"/>
      <c r="X29" s="3"/>
      <c r="Y29" s="3"/>
      <c r="Z29" s="3"/>
      <c r="AA29" s="3"/>
      <c r="AB29" s="3"/>
      <c r="AC29" s="9"/>
      <c r="AD29" s="9"/>
      <c r="AE29" s="3"/>
      <c r="AF29" s="3"/>
      <c r="AG29" s="3"/>
      <c r="AH29" s="3">
        <f t="shared" si="0"/>
        <v>0</v>
      </c>
    </row>
    <row r="30" spans="1:35" ht="19.5" x14ac:dyDescent="0.3">
      <c r="A30" s="36" t="s">
        <v>46</v>
      </c>
      <c r="B30" s="36"/>
      <c r="C30" s="6"/>
      <c r="D30" s="3"/>
      <c r="E30" s="3"/>
      <c r="F30" s="3"/>
      <c r="G30" s="3"/>
      <c r="H30" s="9"/>
      <c r="I30" s="9"/>
      <c r="J30" s="3"/>
      <c r="K30" s="3"/>
      <c r="L30" s="3"/>
      <c r="M30" s="3"/>
      <c r="N30" s="3"/>
      <c r="O30" s="9"/>
      <c r="P30" s="9"/>
      <c r="Q30" s="3"/>
      <c r="R30" s="3"/>
      <c r="S30" s="3"/>
      <c r="T30" s="3"/>
      <c r="U30" s="3"/>
      <c r="V30" s="9"/>
      <c r="W30" s="9"/>
      <c r="X30" s="3"/>
      <c r="Y30" s="3"/>
      <c r="Z30" s="3"/>
      <c r="AA30" s="3"/>
      <c r="AB30" s="3"/>
      <c r="AC30" s="9"/>
      <c r="AD30" s="9"/>
      <c r="AE30" s="3"/>
      <c r="AF30" s="3"/>
      <c r="AG30" s="3"/>
      <c r="AH30" s="3">
        <f t="shared" si="0"/>
        <v>0</v>
      </c>
    </row>
    <row r="31" spans="1:35" ht="19.5" x14ac:dyDescent="0.3">
      <c r="A31" s="36" t="s">
        <v>47</v>
      </c>
      <c r="B31" s="36"/>
      <c r="C31" s="6"/>
      <c r="D31" s="3"/>
      <c r="E31" s="3"/>
      <c r="F31" s="3"/>
      <c r="G31" s="3"/>
      <c r="H31" s="9"/>
      <c r="I31" s="9"/>
      <c r="J31" s="3"/>
      <c r="K31" s="3"/>
      <c r="L31" s="3"/>
      <c r="M31" s="3"/>
      <c r="N31" s="3"/>
      <c r="O31" s="9"/>
      <c r="P31" s="9"/>
      <c r="Q31" s="3"/>
      <c r="R31" s="3"/>
      <c r="S31" s="3"/>
      <c r="T31" s="3"/>
      <c r="U31" s="3"/>
      <c r="V31" s="9"/>
      <c r="W31" s="9"/>
      <c r="X31" s="3"/>
      <c r="Y31" s="3"/>
      <c r="Z31" s="3"/>
      <c r="AA31" s="3"/>
      <c r="AB31" s="3"/>
      <c r="AC31" s="9"/>
      <c r="AD31" s="9"/>
      <c r="AE31" s="3"/>
      <c r="AF31" s="3"/>
      <c r="AG31" s="3"/>
      <c r="AH31" s="3">
        <f t="shared" si="0"/>
        <v>0</v>
      </c>
    </row>
    <row r="32" spans="1:35" ht="19.5" x14ac:dyDescent="0.3">
      <c r="A32" s="36" t="s">
        <v>48</v>
      </c>
      <c r="B32" s="36"/>
      <c r="C32" s="6"/>
      <c r="D32" s="3"/>
      <c r="E32" s="3"/>
      <c r="F32" s="3"/>
      <c r="G32" s="3"/>
      <c r="H32" s="9"/>
      <c r="I32" s="9"/>
      <c r="J32" s="3"/>
      <c r="K32" s="3"/>
      <c r="L32" s="3"/>
      <c r="M32" s="3"/>
      <c r="N32" s="3"/>
      <c r="O32" s="9"/>
      <c r="P32" s="9"/>
      <c r="Q32" s="3"/>
      <c r="R32" s="3"/>
      <c r="S32" s="3"/>
      <c r="T32" s="3"/>
      <c r="U32" s="3"/>
      <c r="V32" s="9"/>
      <c r="W32" s="9"/>
      <c r="X32" s="3"/>
      <c r="Y32" s="3"/>
      <c r="Z32" s="3"/>
      <c r="AA32" s="3"/>
      <c r="AB32" s="3"/>
      <c r="AC32" s="9"/>
      <c r="AD32" s="9"/>
      <c r="AE32" s="3"/>
      <c r="AF32" s="3"/>
      <c r="AG32" s="3"/>
      <c r="AH32" s="3">
        <f t="shared" si="0"/>
        <v>0</v>
      </c>
    </row>
    <row r="33" spans="1:34" ht="19.5" x14ac:dyDescent="0.3">
      <c r="A33" s="12" t="s">
        <v>49</v>
      </c>
      <c r="B33" s="12"/>
      <c r="C33" s="7"/>
      <c r="D33" s="4">
        <f>SUM(D25:D29)</f>
        <v>7.5</v>
      </c>
      <c r="E33" s="4">
        <f>SUM(E25:E29)</f>
        <v>7.5</v>
      </c>
      <c r="F33" s="4">
        <f>SUM(F25:F29)</f>
        <v>7.5</v>
      </c>
      <c r="G33" s="4">
        <f>SUM(G25:G29)</f>
        <v>7.5</v>
      </c>
      <c r="H33" s="10"/>
      <c r="I33" s="10"/>
      <c r="J33" s="4">
        <f>SUM(J25:J29)</f>
        <v>7.5</v>
      </c>
      <c r="K33" s="4">
        <f>SUM(K25:K29)</f>
        <v>7.5</v>
      </c>
      <c r="L33" s="4">
        <f>SUM(L25:L29)</f>
        <v>7.5</v>
      </c>
      <c r="M33" s="4">
        <f>SUM(M25:M29)</f>
        <v>7.5</v>
      </c>
      <c r="N33" s="4">
        <f>SUM(N25:N29)</f>
        <v>7.5</v>
      </c>
      <c r="O33" s="10"/>
      <c r="P33" s="10"/>
      <c r="Q33" s="4">
        <f>SUM(Q25:Q29)</f>
        <v>7.5</v>
      </c>
      <c r="R33" s="4">
        <f>SUM(R25:R29)</f>
        <v>7.5</v>
      </c>
      <c r="S33" s="4">
        <f>SUM(S25:S29)</f>
        <v>7.5</v>
      </c>
      <c r="T33" s="4">
        <f>SUM(T25:T29)</f>
        <v>7.5</v>
      </c>
      <c r="U33" s="4">
        <f>SUM(U25:U29)</f>
        <v>7.5</v>
      </c>
      <c r="V33" s="10"/>
      <c r="W33" s="10"/>
      <c r="X33" s="4">
        <f>SUM(X25:X29)</f>
        <v>7.5</v>
      </c>
      <c r="Y33" s="4">
        <f>SUM(Y25:Y29)</f>
        <v>7.5</v>
      </c>
      <c r="Z33" s="4">
        <f>SUM(Z25:Z29)</f>
        <v>7.5</v>
      </c>
      <c r="AA33" s="4">
        <f>SUM(AA25:AA29)</f>
        <v>7.5</v>
      </c>
      <c r="AB33" s="4">
        <f>SUM(AB25:AB29)</f>
        <v>7.5</v>
      </c>
      <c r="AC33" s="10"/>
      <c r="AD33" s="10"/>
      <c r="AE33" s="4">
        <f>SUM(AE25:AE29)</f>
        <v>7.5</v>
      </c>
      <c r="AF33" s="4">
        <f>SUM(AF25:AF29)</f>
        <v>7.5</v>
      </c>
      <c r="AG33" s="4">
        <f>SUM(AG25:AG29)</f>
        <v>7.5</v>
      </c>
      <c r="AH33" s="4">
        <f>SUM(AH25:AH29)</f>
        <v>165</v>
      </c>
    </row>
    <row r="34" spans="1:34" ht="19.5" x14ac:dyDescent="0.3">
      <c r="A34" s="12" t="s">
        <v>50</v>
      </c>
      <c r="B34" s="12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">
        <f>SUM(AH30:AH33)</f>
        <v>165</v>
      </c>
    </row>
    <row r="37" spans="1:34" x14ac:dyDescent="0.25">
      <c r="A37" s="30" t="s">
        <v>51</v>
      </c>
      <c r="B37" s="48" t="s">
        <v>54</v>
      </c>
      <c r="W37" s="38" t="s">
        <v>52</v>
      </c>
      <c r="X37" s="39"/>
      <c r="Y37" s="39"/>
      <c r="Z37" s="39"/>
      <c r="AA37" s="40"/>
      <c r="AB37" s="38" t="s">
        <v>9</v>
      </c>
      <c r="AC37" s="39"/>
      <c r="AD37" s="39"/>
      <c r="AE37" s="40"/>
    </row>
    <row r="38" spans="1:34" x14ac:dyDescent="0.25">
      <c r="A38" s="37"/>
      <c r="B38" s="37"/>
      <c r="W38" s="41"/>
      <c r="X38" s="42"/>
      <c r="Y38" s="42"/>
      <c r="Z38" s="42"/>
      <c r="AA38" s="43"/>
      <c r="AB38" s="41"/>
      <c r="AC38" s="42"/>
      <c r="AD38" s="42"/>
      <c r="AE38" s="43"/>
    </row>
    <row r="39" spans="1:34" ht="19.5" x14ac:dyDescent="0.25">
      <c r="A39" s="31"/>
      <c r="B39" s="14">
        <v>45083</v>
      </c>
      <c r="W39" s="44"/>
      <c r="X39" s="45"/>
      <c r="Y39" s="45"/>
      <c r="Z39" s="45"/>
      <c r="AA39" s="46"/>
      <c r="AB39" s="47" t="s">
        <v>53</v>
      </c>
      <c r="AC39" s="45"/>
      <c r="AD39" s="45"/>
      <c r="AE39" s="46"/>
    </row>
  </sheetData>
  <mergeCells count="70">
    <mergeCell ref="C34:AG34"/>
    <mergeCell ref="A37:A39"/>
    <mergeCell ref="B37:B38"/>
    <mergeCell ref="W37:AA39"/>
    <mergeCell ref="AB37:AE38"/>
    <mergeCell ref="AB39:AE39"/>
    <mergeCell ref="A28:B28"/>
    <mergeCell ref="A29:B29"/>
    <mergeCell ref="A30:B30"/>
    <mergeCell ref="A31:B31"/>
    <mergeCell ref="A32:B32"/>
    <mergeCell ref="A21:B21"/>
    <mergeCell ref="A22:B22"/>
    <mergeCell ref="A25:B25"/>
    <mergeCell ref="A26:B26"/>
    <mergeCell ref="A27:B27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2024-05-28T05:02:53Z</dcterms:created>
  <dcterms:modified xsi:type="dcterms:W3CDTF">2024-05-28T07:48:30Z</dcterms:modified>
  <cp:category/>
</cp:coreProperties>
</file>