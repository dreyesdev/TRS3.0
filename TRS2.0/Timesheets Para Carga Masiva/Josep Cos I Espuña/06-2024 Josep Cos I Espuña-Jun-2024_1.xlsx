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sep Cos I Espuña\"/>
    </mc:Choice>
  </mc:AlternateContent>
  <xr:revisionPtr revIDLastSave="0" documentId="8_{790B4D8F-6C81-4732-9B92-06839F886225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AA26" i="1"/>
  <c r="AA33" i="1" s="1"/>
  <c r="AD25" i="1"/>
  <c r="AC25" i="1"/>
  <c r="AC26" i="1" s="1"/>
  <c r="AB25" i="1"/>
  <c r="AA25" i="1"/>
  <c r="W25" i="1"/>
  <c r="W26" i="1" s="1"/>
  <c r="V25" i="1"/>
  <c r="V26" i="1" s="1"/>
  <c r="V33" i="1" s="1"/>
  <c r="U25" i="1"/>
  <c r="T25" i="1"/>
  <c r="S25" i="1"/>
  <c r="P25" i="1"/>
  <c r="O25" i="1"/>
  <c r="N25" i="1"/>
  <c r="N26" i="1" s="1"/>
  <c r="N33" i="1" s="1"/>
  <c r="M25" i="1"/>
  <c r="M26" i="1" s="1"/>
  <c r="L25" i="1"/>
  <c r="L26" i="1" s="1"/>
  <c r="L33" i="1" s="1"/>
  <c r="I25" i="1"/>
  <c r="H25" i="1"/>
  <c r="G25" i="1"/>
  <c r="F25" i="1"/>
  <c r="E25" i="1"/>
  <c r="AG24" i="1"/>
  <c r="AG23" i="1"/>
  <c r="AG25" i="1" l="1"/>
  <c r="P16" i="1" s="1"/>
  <c r="X16" i="1" s="1"/>
  <c r="AC33" i="1"/>
  <c r="F26" i="1"/>
  <c r="F33" i="1" s="1"/>
  <c r="P26" i="1"/>
  <c r="P33" i="1" s="1"/>
  <c r="U33" i="1"/>
  <c r="E26" i="1"/>
  <c r="E33" i="1" s="1"/>
  <c r="O26" i="1"/>
  <c r="O33" i="1" s="1"/>
  <c r="AB26" i="1"/>
  <c r="AB33" i="1" s="1"/>
  <c r="M33" i="1"/>
  <c r="W33" i="1"/>
  <c r="G26" i="1"/>
  <c r="G33" i="1" s="1"/>
  <c r="S26" i="1"/>
  <c r="S33" i="1" s="1"/>
  <c r="AD26" i="1"/>
  <c r="AD33" i="1" s="1"/>
  <c r="H26" i="1"/>
  <c r="H33" i="1" s="1"/>
  <c r="T26" i="1"/>
  <c r="T33" i="1" s="1"/>
  <c r="I26" i="1"/>
  <c r="I33" i="1" s="1"/>
  <c r="U26" i="1"/>
  <c r="AG26" i="1" l="1"/>
  <c r="AG33" i="1" s="1"/>
  <c r="H16" i="1" l="1"/>
  <c r="AG34" i="1"/>
  <c r="AH25" i="1" l="1"/>
  <c r="AH24" i="1"/>
  <c r="AH23" i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<sst xmlns="http://schemas.openxmlformats.org/spreadsheetml/2006/main" count="78" uniqueCount="54">
  <si>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</si>
  <si>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</si>
  <si>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</si>
  <si>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</si>
  <si>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</si>
  <si>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</si>
  <si>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</si>
  <si>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</si>
  <si>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</si>
  <si>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</si>
  <si>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</si>
  <si>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</si>
  <si>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</si>
  <si>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</si>
  <si>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</si>
  <si>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</si>
  <si>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</si>
  <si>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</si>
  <si>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</si>
  <si>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</si>
  <si>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</si>
  <si>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</si>
  <si>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</si>
  <si>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</si>
  <si>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</si>
  <si>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</si>
  <si>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</si>
  <si>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</si>
  <si>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</si>
  <si>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</si>
  <si>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</si>
  <si>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</si>
  <si>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</si>
  <si>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</si>
  <si>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</si>
  <si>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</si>
  <si>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</si>
  <si>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</si>
  <si>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</si>
  <si>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</si>
  <si>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</si>
  <si>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10% Estimated:14.25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</si>
  <si>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</si>
  <si>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90% Estimated:128.25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</si>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</sst>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70" zoomScaleNormal="70" workbookViewId="0">
      <selection activeCell="F25" sqref="F25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AG33</f>
        <v>142.5</v>
      </c>
      <c r="I16" s="25"/>
      <c r="K16" s="24" t="s">
        <v>18</v>
      </c>
      <c r="L16" s="16"/>
      <c r="M16" s="16"/>
      <c r="N16" s="16"/>
      <c r="O16" s="16"/>
      <c r="P16" s="26">
        <f>AG25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9"/>
      <c r="AA21" s="28"/>
      <c r="AB21" s="28"/>
      <c r="AC21" s="28"/>
      <c r="AD21" s="28"/>
      <c r="AE21" s="27"/>
      <c r="AF21" s="27"/>
      <c r="AG21" s="28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9"/>
      <c r="AA22" s="28"/>
      <c r="AB22" s="28"/>
      <c r="AC22" s="28"/>
      <c r="AD22" s="28"/>
      <c r="AE22" s="27"/>
      <c r="AF22" s="27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7.5</v>
      </c>
      <c r="F23" s="3">
        <v>7</v>
      </c>
      <c r="G23" s="3"/>
      <c r="H23" s="3"/>
      <c r="I23" s="3"/>
      <c r="J23" s="6"/>
      <c r="K23" s="6"/>
      <c r="L23" s="3"/>
      <c r="M23" s="3"/>
      <c r="N23" s="3"/>
      <c r="O23" s="3"/>
      <c r="P23" s="3"/>
      <c r="Q23" s="6"/>
      <c r="R23" s="6"/>
      <c r="S23" s="3"/>
      <c r="T23" s="3"/>
      <c r="U23" s="3"/>
      <c r="V23" s="3"/>
      <c r="W23" s="3"/>
      <c r="X23" s="6"/>
      <c r="Y23" s="6"/>
      <c r="Z23" s="9"/>
      <c r="AA23" s="3"/>
      <c r="AB23" s="3"/>
      <c r="AC23" s="3"/>
      <c r="AD23" s="3"/>
      <c r="AE23" s="6"/>
      <c r="AF23" s="6"/>
      <c r="AG23" s="3">
        <f>SUM(C23:AF23)</f>
        <v>14.5</v>
      </c>
      <c r="AH23" s="13">
        <f>AG23/$AG$34</f>
        <v>0.10175438596491228</v>
      </c>
    </row>
    <row r="24" spans="1:34" ht="19.5" x14ac:dyDescent="0.3">
      <c r="A24" s="12" t="s">
        <v>42</v>
      </c>
      <c r="B24" s="12" t="s">
        <v>43</v>
      </c>
      <c r="C24" s="6"/>
      <c r="D24" s="6"/>
      <c r="E24" s="3"/>
      <c r="F24" s="3">
        <v>0.5</v>
      </c>
      <c r="G24" s="3">
        <v>7.5</v>
      </c>
      <c r="H24" s="3">
        <v>7.5</v>
      </c>
      <c r="I24" s="3">
        <v>7.5</v>
      </c>
      <c r="J24" s="6"/>
      <c r="K24" s="6"/>
      <c r="L24" s="3">
        <v>7.5</v>
      </c>
      <c r="M24" s="3">
        <v>7.5</v>
      </c>
      <c r="N24" s="3">
        <v>7.5</v>
      </c>
      <c r="O24" s="3">
        <v>7.5</v>
      </c>
      <c r="P24" s="3">
        <v>7.5</v>
      </c>
      <c r="Q24" s="6"/>
      <c r="R24" s="6"/>
      <c r="S24" s="3">
        <v>7.5</v>
      </c>
      <c r="T24" s="3">
        <v>7.5</v>
      </c>
      <c r="U24" s="3">
        <v>7.5</v>
      </c>
      <c r="V24" s="3">
        <v>7.5</v>
      </c>
      <c r="W24" s="3">
        <v>7.5</v>
      </c>
      <c r="X24" s="6"/>
      <c r="Y24" s="6"/>
      <c r="Z24" s="9"/>
      <c r="AA24" s="3">
        <v>7.5</v>
      </c>
      <c r="AB24" s="3">
        <v>7.5</v>
      </c>
      <c r="AC24" s="3">
        <v>7.5</v>
      </c>
      <c r="AD24" s="3">
        <v>7.5</v>
      </c>
      <c r="AE24" s="6"/>
      <c r="AF24" s="6"/>
      <c r="AG24" s="3">
        <f>SUM(C24:AF24)</f>
        <v>128</v>
      </c>
      <c r="AH24" s="13">
        <f>AG24/$AG$34</f>
        <v>0.89824561403508774</v>
      </c>
    </row>
    <row r="25" spans="1:34" ht="19.5" x14ac:dyDescent="0.3">
      <c r="A25" s="35" t="s">
        <v>44</v>
      </c>
      <c r="B25" s="36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7"/>
      <c r="K25" s="7"/>
      <c r="L25" s="4">
        <f>SUM(L23:L24)</f>
        <v>7.5</v>
      </c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10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142.5</v>
      </c>
      <c r="AH25" s="11">
        <f>AG25/$AG$34</f>
        <v>1</v>
      </c>
    </row>
    <row r="26" spans="1:34" ht="19.5" x14ac:dyDescent="0.3">
      <c r="A26" s="37" t="s">
        <v>45</v>
      </c>
      <c r="B26" s="37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6"/>
      <c r="K26" s="6"/>
      <c r="L26" s="3">
        <f>7.5-L25</f>
        <v>0</v>
      </c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9"/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 t="shared" ref="AG26:AG32" si="0">SUM(C26:AF26)</f>
        <v>0</v>
      </c>
    </row>
    <row r="27" spans="1:34" ht="19.5" x14ac:dyDescent="0.3">
      <c r="A27" s="37"/>
      <c r="B27" s="37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9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37"/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37" t="s">
        <v>46</v>
      </c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37" t="s">
        <v>47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37" t="s">
        <v>48</v>
      </c>
      <c r="B32" s="37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2" t="s">
        <v>49</v>
      </c>
      <c r="B33" s="12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7"/>
      <c r="K33" s="7"/>
      <c r="L33" s="4">
        <f>SUM(L25:L29)</f>
        <v>7.5</v>
      </c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10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142.5</v>
      </c>
    </row>
    <row r="34" spans="1:33" ht="19.5" x14ac:dyDescent="0.3">
      <c r="A34" s="12" t="s">
        <v>50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2">
        <f>SUM(AG30:AG33)</f>
        <v>142.5</v>
      </c>
    </row>
    <row r="37" spans="1:33" x14ac:dyDescent="0.25">
      <c r="A37" s="31" t="s">
        <v>51</v>
      </c>
      <c r="B37" s="31" t="s">
        <v>52</v>
      </c>
      <c r="W37" s="39" t="s">
        <v>53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3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3" ht="19.5" x14ac:dyDescent="0.25">
      <c r="A39" s="32"/>
      <c r="B39" s="14"/>
      <c r="W39" s="45"/>
      <c r="X39" s="46"/>
      <c r="Y39" s="46"/>
      <c r="Z39" s="46"/>
      <c r="AA39" s="47"/>
      <c r="AB39" s="48"/>
      <c r="AC39" s="46"/>
      <c r="AD39" s="46"/>
      <c r="AE39" s="47"/>
    </row>
  </sheetData>
  <mergeCells count="69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2024-07-01T08:26:20Z</dcterms:created>
  <dcterms:modified xsi:type="dcterms:W3CDTF">2024-07-01T10:58:02Z</dcterms:modified>
  <cp:category/>
</cp:coreProperties>
</file>