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879260AB-973A-4ABE-994F-731C34C39EE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D27" i="1"/>
  <c r="AB27" i="1"/>
  <c r="AB28" i="1" s="1"/>
  <c r="AA27" i="1"/>
  <c r="AA28" i="1" s="1"/>
  <c r="Z27" i="1"/>
  <c r="Z28" i="1" s="1"/>
  <c r="W27" i="1"/>
  <c r="W28" i="1" s="1"/>
  <c r="W35" i="1" s="1"/>
  <c r="V27" i="1"/>
  <c r="U27" i="1"/>
  <c r="T27" i="1"/>
  <c r="S27" i="1"/>
  <c r="P27" i="1"/>
  <c r="P28" i="1" s="1"/>
  <c r="O27" i="1"/>
  <c r="O28" i="1" s="1"/>
  <c r="N27" i="1"/>
  <c r="N28" i="1" s="1"/>
  <c r="M27" i="1"/>
  <c r="M28" i="1" s="1"/>
  <c r="M35" i="1" s="1"/>
  <c r="L27" i="1"/>
  <c r="I27" i="1"/>
  <c r="H27" i="1"/>
  <c r="G27" i="1"/>
  <c r="F27" i="1"/>
  <c r="F28" i="1" s="1"/>
  <c r="E27" i="1"/>
  <c r="E28" i="1" s="1"/>
  <c r="AH26" i="1"/>
  <c r="AH25" i="1"/>
  <c r="AH24" i="1"/>
  <c r="AH23" i="1"/>
  <c r="AH27" i="1" l="1"/>
  <c r="P16" i="1" s="1"/>
  <c r="X16" i="1" s="1"/>
  <c r="F35" i="1"/>
  <c r="P35" i="1"/>
  <c r="AB35" i="1"/>
  <c r="G28" i="1"/>
  <c r="S28" i="1"/>
  <c r="S35" i="1" s="1"/>
  <c r="AD28" i="1"/>
  <c r="AD35" i="1" s="1"/>
  <c r="N35" i="1"/>
  <c r="Z35" i="1"/>
  <c r="H28" i="1"/>
  <c r="H35" i="1" s="1"/>
  <c r="T28" i="1"/>
  <c r="T35" i="1" s="1"/>
  <c r="AG28" i="1"/>
  <c r="AG35" i="1" s="1"/>
  <c r="E35" i="1"/>
  <c r="O35" i="1"/>
  <c r="AA35" i="1"/>
  <c r="I28" i="1"/>
  <c r="I35" i="1" s="1"/>
  <c r="U28" i="1"/>
  <c r="U35" i="1" s="1"/>
  <c r="L28" i="1"/>
  <c r="L35" i="1" s="1"/>
  <c r="V28" i="1"/>
  <c r="V35" i="1" s="1"/>
  <c r="AH28" i="1" l="1"/>
  <c r="AH35" i="1" s="1"/>
  <c r="H16" i="1" s="1"/>
  <c r="G35" i="1"/>
  <c r="AH36" i="1" l="1"/>
  <c r="AI26" i="1" s="1"/>
  <c r="AI27" i="1" l="1"/>
  <c r="AI24" i="1"/>
  <c r="AI23" i="1"/>
  <c r="AI25" i="1"/>
</calcChain>
</file>

<file path=xl/sharedStrings.xml><?xml version="1.0" encoding="utf-8"?>
<sst xmlns="http://schemas.openxmlformats.org/spreadsheetml/2006/main" count="99" uniqueCount="69">
  <si>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</si>
  <si>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</si>
  <si>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</si>
  <si>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</si>
  <si>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</si>
  <si>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</si>
  <si>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</si>
  <si>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</si>
  <si>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</si>
  <si>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</si>
  <si>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</si>
  <si>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</si>
  <si>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</si>
  <si>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</si>
  <si>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</si>
  <si>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</si>
  <si>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</si>
  <si>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</si>
  <si>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</si>
  <si>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</si>
  <si>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</si>
  <si>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</si>
  <si>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</si>
  <si>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</si>
  <si>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</si>
  <si>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</si>
  <si>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</si>
  <si>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</si>
  <si>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</si>
  <si>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</si>
  <si>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</si>
  <si>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</si>
  <si>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</si>
  <si>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</si>
  <si>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</si>
  <si>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</si>
  <si>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</si>
  <si>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</si>
  <si>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</si>
  <si>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</si>
  <si>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</si>
  <si>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Estimated:94.74 h</t>
  </si>
  <si>
    <t>PE104100 DT-GEO - WP1 Project Management</t>
  </si>
  <si>
    <t>Dedicacion: 5% Estimated:7.89 h</t>
  </si>
  <si>
    <t>PE105800 ICOS - WP1 Project Management</t>
  </si>
  <si>
    <t>PE092000 RISC2 - WP4 Policy Dialogue &amp; Sustainability</t>
  </si>
  <si>
    <t>Dedicacion: 10% Estimated:15.79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</si>
  <si>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</si>
  <si>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</si>
  <si>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</si>
  <si>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</si>
  <si>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</si>
  <si>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</si>
  <si>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</si>
  <si>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</si>
  <si>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</si>
  <si>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2023-08-21</t>
  </si>
  <si>
    <t xml:space="preserve">Date and signature of staff member:	</t>
  </si>
  <si>
    <t>2023-08-11</t>
  </si>
  <si>
    <t>TRAVELS</t>
  </si>
  <si>
    <t>Liq Id</t>
  </si>
  <si>
    <t>Project</t>
  </si>
  <si>
    <t>Dedication</t>
  </si>
  <si>
    <t>StartDate</t>
  </si>
  <si>
    <t>EndDate</t>
  </si>
  <si>
    <t>0859/23</t>
  </si>
  <si>
    <t>2023-07-18</t>
  </si>
  <si>
    <t>PE092000 RISC2</t>
  </si>
  <si>
    <t>0942/23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</si>
</sst>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7"/>
  <sheetViews>
    <sheetView tabSelected="1" topLeftCell="A12" zoomScale="90" zoomScaleNormal="90" workbookViewId="0">
      <selection activeCell="AD33" sqref="AD33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AH35</f>
        <v>150</v>
      </c>
      <c r="I16" s="28"/>
      <c r="K16" s="27" t="s">
        <v>18</v>
      </c>
      <c r="L16" s="19"/>
      <c r="M16" s="19"/>
      <c r="N16" s="19"/>
      <c r="O16" s="19"/>
      <c r="P16" s="28">
        <f>AH27</f>
        <v>126</v>
      </c>
      <c r="Q16" s="28"/>
      <c r="S16" s="27" t="s">
        <v>19</v>
      </c>
      <c r="T16" s="19"/>
      <c r="U16" s="19"/>
      <c r="V16" s="19"/>
      <c r="W16" s="19"/>
      <c r="X16" s="28">
        <f>(P16/7.5) *1</f>
        <v>16.8</v>
      </c>
      <c r="Y16" s="28"/>
    </row>
    <row r="19" spans="1:35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8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11">
        <v>27</v>
      </c>
      <c r="AD20" s="2">
        <v>28</v>
      </c>
      <c r="AE20" s="5">
        <v>29</v>
      </c>
      <c r="AF20" s="5">
        <v>30</v>
      </c>
      <c r="AG20" s="2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29"/>
      <c r="E21" s="30"/>
      <c r="F21" s="30"/>
      <c r="G21" s="30"/>
      <c r="H21" s="30"/>
      <c r="I21" s="30"/>
      <c r="J21" s="29"/>
      <c r="K21" s="29"/>
      <c r="L21" s="30"/>
      <c r="M21" s="30"/>
      <c r="N21" s="30"/>
      <c r="O21" s="30"/>
      <c r="P21" s="30"/>
      <c r="Q21" s="29"/>
      <c r="R21" s="29"/>
      <c r="S21" s="30"/>
      <c r="T21" s="31"/>
      <c r="U21" s="30"/>
      <c r="V21" s="30"/>
      <c r="W21" s="30"/>
      <c r="X21" s="29"/>
      <c r="Y21" s="29"/>
      <c r="Z21" s="30"/>
      <c r="AA21" s="30"/>
      <c r="AB21" s="30"/>
      <c r="AC21" s="32"/>
      <c r="AD21" s="30"/>
      <c r="AE21" s="29"/>
      <c r="AF21" s="29"/>
      <c r="AG21" s="30"/>
      <c r="AH21" s="30"/>
      <c r="AI21" s="36"/>
    </row>
    <row r="22" spans="1:35" ht="19.5" x14ac:dyDescent="0.45">
      <c r="A22" s="37" t="s">
        <v>39</v>
      </c>
      <c r="B22" s="37"/>
      <c r="C22" s="29"/>
      <c r="D22" s="29"/>
      <c r="E22" s="30"/>
      <c r="F22" s="30"/>
      <c r="G22" s="30"/>
      <c r="H22" s="30"/>
      <c r="I22" s="30"/>
      <c r="J22" s="29"/>
      <c r="K22" s="29"/>
      <c r="L22" s="30"/>
      <c r="M22" s="30"/>
      <c r="N22" s="30"/>
      <c r="O22" s="30"/>
      <c r="P22" s="30"/>
      <c r="Q22" s="29"/>
      <c r="R22" s="29"/>
      <c r="S22" s="30"/>
      <c r="T22" s="31"/>
      <c r="U22" s="30"/>
      <c r="V22" s="30"/>
      <c r="W22" s="30"/>
      <c r="X22" s="29"/>
      <c r="Y22" s="29"/>
      <c r="Z22" s="30"/>
      <c r="AA22" s="30"/>
      <c r="AB22" s="30"/>
      <c r="AC22" s="32"/>
      <c r="AD22" s="30"/>
      <c r="AE22" s="29"/>
      <c r="AF22" s="29"/>
      <c r="AG22" s="30"/>
      <c r="AH22" s="30"/>
      <c r="AI22" s="36"/>
    </row>
    <row r="23" spans="1:35" ht="19.5" x14ac:dyDescent="0.45">
      <c r="A23" s="15" t="s">
        <v>40</v>
      </c>
      <c r="B23" s="15" t="s">
        <v>41</v>
      </c>
      <c r="C23" s="6"/>
      <c r="D23" s="6"/>
      <c r="E23" s="54">
        <v>6.5</v>
      </c>
      <c r="F23" s="54">
        <v>6.5</v>
      </c>
      <c r="G23" s="54">
        <v>6</v>
      </c>
      <c r="H23" s="54">
        <v>6</v>
      </c>
      <c r="I23" s="54">
        <v>4.5</v>
      </c>
      <c r="J23" s="55"/>
      <c r="K23" s="55"/>
      <c r="L23" s="54">
        <v>5</v>
      </c>
      <c r="M23" s="54">
        <v>5</v>
      </c>
      <c r="N23" s="54">
        <v>5</v>
      </c>
      <c r="O23" s="54">
        <v>3.5</v>
      </c>
      <c r="P23" s="54">
        <v>4.5</v>
      </c>
      <c r="Q23" s="55"/>
      <c r="R23" s="55"/>
      <c r="S23" s="54">
        <v>3</v>
      </c>
      <c r="T23" s="56"/>
      <c r="U23" s="54">
        <v>5</v>
      </c>
      <c r="V23" s="54">
        <v>5</v>
      </c>
      <c r="W23" s="54">
        <v>3</v>
      </c>
      <c r="X23" s="55"/>
      <c r="Y23" s="55"/>
      <c r="Z23" s="54">
        <v>6</v>
      </c>
      <c r="AA23" s="54">
        <v>6</v>
      </c>
      <c r="AB23" s="54">
        <v>6</v>
      </c>
      <c r="AC23" s="57"/>
      <c r="AD23" s="54">
        <v>5</v>
      </c>
      <c r="AE23" s="55"/>
      <c r="AF23" s="55"/>
      <c r="AG23" s="54">
        <v>3.5</v>
      </c>
      <c r="AH23" s="3">
        <f>SUM(C23:AG23)</f>
        <v>95</v>
      </c>
      <c r="AI23" s="16">
        <f>AH23/$AH$36</f>
        <v>0.60317460317460314</v>
      </c>
    </row>
    <row r="24" spans="1:35" ht="19.5" x14ac:dyDescent="0.45">
      <c r="A24" s="15" t="s">
        <v>42</v>
      </c>
      <c r="B24" s="15" t="s">
        <v>43</v>
      </c>
      <c r="C24" s="6"/>
      <c r="D24" s="6"/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6"/>
      <c r="K24" s="6"/>
      <c r="L24" s="3">
        <v>0</v>
      </c>
      <c r="M24" s="3">
        <v>1</v>
      </c>
      <c r="N24" s="3">
        <v>0</v>
      </c>
      <c r="O24" s="3">
        <v>1</v>
      </c>
      <c r="P24" s="3">
        <v>0</v>
      </c>
      <c r="Q24" s="6"/>
      <c r="R24" s="6"/>
      <c r="S24" s="3">
        <v>1</v>
      </c>
      <c r="T24" s="9"/>
      <c r="U24" s="3">
        <v>0</v>
      </c>
      <c r="V24" s="3">
        <v>0</v>
      </c>
      <c r="W24" s="3">
        <v>1</v>
      </c>
      <c r="X24" s="6"/>
      <c r="Y24" s="6"/>
      <c r="Z24" s="3">
        <v>1</v>
      </c>
      <c r="AA24" s="3">
        <v>0</v>
      </c>
      <c r="AB24" s="3">
        <v>1</v>
      </c>
      <c r="AC24" s="12"/>
      <c r="AD24" s="3">
        <v>0</v>
      </c>
      <c r="AE24" s="6"/>
      <c r="AF24" s="6"/>
      <c r="AG24" s="3">
        <v>0</v>
      </c>
      <c r="AH24" s="3">
        <f>SUM(C24:AG24)</f>
        <v>8</v>
      </c>
      <c r="AI24" s="16">
        <f>AH24/$AH$36</f>
        <v>5.0793650793650794E-2</v>
      </c>
    </row>
    <row r="25" spans="1:35" ht="19.5" x14ac:dyDescent="0.45">
      <c r="A25" s="15" t="s">
        <v>44</v>
      </c>
      <c r="B25" s="15" t="s">
        <v>43</v>
      </c>
      <c r="C25" s="6"/>
      <c r="D25" s="6"/>
      <c r="E25" s="3"/>
      <c r="F25" s="3"/>
      <c r="G25" s="3"/>
      <c r="H25" s="3"/>
      <c r="I25" s="3">
        <v>2</v>
      </c>
      <c r="J25" s="6"/>
      <c r="K25" s="6"/>
      <c r="L25" s="3"/>
      <c r="M25" s="3"/>
      <c r="N25" s="3"/>
      <c r="O25" s="3">
        <v>2</v>
      </c>
      <c r="P25" s="3">
        <v>2</v>
      </c>
      <c r="Q25" s="6"/>
      <c r="R25" s="6"/>
      <c r="S25" s="3"/>
      <c r="T25" s="9"/>
      <c r="U25" s="3"/>
      <c r="V25" s="3"/>
      <c r="W25" s="3"/>
      <c r="X25" s="6"/>
      <c r="Y25" s="6"/>
      <c r="Z25" s="3"/>
      <c r="AA25" s="3"/>
      <c r="AB25" s="3"/>
      <c r="AC25" s="12"/>
      <c r="AD25" s="3"/>
      <c r="AE25" s="6"/>
      <c r="AF25" s="6"/>
      <c r="AG25" s="3">
        <v>2</v>
      </c>
      <c r="AH25" s="3">
        <f>SUM(C25:AG25)</f>
        <v>8</v>
      </c>
      <c r="AI25" s="16">
        <f>AH25/$AH$36</f>
        <v>5.0793650793650794E-2</v>
      </c>
    </row>
    <row r="26" spans="1:35" ht="19.5" x14ac:dyDescent="0.45">
      <c r="A26" s="15" t="s">
        <v>45</v>
      </c>
      <c r="B26" s="15" t="s">
        <v>46</v>
      </c>
      <c r="C26" s="6"/>
      <c r="D26" s="6"/>
      <c r="E26" s="3">
        <v>1</v>
      </c>
      <c r="F26" s="3">
        <v>1</v>
      </c>
      <c r="G26" s="3">
        <v>0.5</v>
      </c>
      <c r="H26" s="3">
        <v>0.5</v>
      </c>
      <c r="I26" s="3">
        <v>1</v>
      </c>
      <c r="J26" s="6"/>
      <c r="K26" s="6"/>
      <c r="L26" s="3">
        <v>0.5</v>
      </c>
      <c r="M26" s="3">
        <v>0.5</v>
      </c>
      <c r="N26" s="3">
        <v>1</v>
      </c>
      <c r="O26" s="3">
        <v>1</v>
      </c>
      <c r="P26" s="3">
        <v>1</v>
      </c>
      <c r="Q26" s="6"/>
      <c r="R26" s="6"/>
      <c r="S26" s="3">
        <v>1</v>
      </c>
      <c r="T26" s="9"/>
      <c r="U26" s="3">
        <v>0.5</v>
      </c>
      <c r="V26" s="3">
        <v>1</v>
      </c>
      <c r="W26" s="3">
        <v>0.5</v>
      </c>
      <c r="X26" s="6"/>
      <c r="Y26" s="6"/>
      <c r="Z26" s="3">
        <v>0.5</v>
      </c>
      <c r="AA26" s="3">
        <v>0.5</v>
      </c>
      <c r="AB26" s="3">
        <v>1</v>
      </c>
      <c r="AC26" s="12"/>
      <c r="AD26" s="3">
        <v>1</v>
      </c>
      <c r="AE26" s="6"/>
      <c r="AF26" s="6"/>
      <c r="AG26" s="3">
        <v>1</v>
      </c>
      <c r="AH26" s="3">
        <f>SUM(C26:AG26)</f>
        <v>15</v>
      </c>
      <c r="AI26" s="16">
        <f>AH26/$AH$36</f>
        <v>9.5238095238095233E-2</v>
      </c>
    </row>
    <row r="27" spans="1:35" ht="19.5" x14ac:dyDescent="0.45">
      <c r="A27" s="38" t="s">
        <v>47</v>
      </c>
      <c r="B27" s="39"/>
      <c r="C27" s="7"/>
      <c r="D27" s="7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7"/>
      <c r="K27" s="7"/>
      <c r="L27" s="4">
        <f>SUM(L23:L26)</f>
        <v>5.5</v>
      </c>
      <c r="M27" s="4">
        <f>SUM(M23:M26)</f>
        <v>6.5</v>
      </c>
      <c r="N27" s="4">
        <f>SUM(N23:N26)</f>
        <v>6</v>
      </c>
      <c r="O27" s="4">
        <f>SUM(O23:O26)</f>
        <v>7.5</v>
      </c>
      <c r="P27" s="4">
        <f>SUM(P23:P26)</f>
        <v>7.5</v>
      </c>
      <c r="Q27" s="7"/>
      <c r="R27" s="7"/>
      <c r="S27" s="4">
        <f>SUM(S23:S26)</f>
        <v>5</v>
      </c>
      <c r="T27" s="10">
        <f>SUM(T23:T26)</f>
        <v>0</v>
      </c>
      <c r="U27" s="4">
        <f>SUM(U23:U26)</f>
        <v>5.5</v>
      </c>
      <c r="V27" s="4">
        <f>SUM(V23:V26)</f>
        <v>6</v>
      </c>
      <c r="W27" s="4">
        <f>SUM(W23:W26)</f>
        <v>4.5</v>
      </c>
      <c r="X27" s="7"/>
      <c r="Y27" s="7"/>
      <c r="Z27" s="4">
        <f>SUM(Z23:Z26)</f>
        <v>7.5</v>
      </c>
      <c r="AA27" s="4">
        <f>SUM(AA23:AA26)</f>
        <v>6.5</v>
      </c>
      <c r="AB27" s="4">
        <f>SUM(AB23:AB26)</f>
        <v>8</v>
      </c>
      <c r="AC27" s="13"/>
      <c r="AD27" s="4">
        <f>SUM(AD23:AD26)</f>
        <v>6</v>
      </c>
      <c r="AE27" s="7"/>
      <c r="AF27" s="7"/>
      <c r="AG27" s="4">
        <f>SUM(AG23:AG26)</f>
        <v>6.5</v>
      </c>
      <c r="AH27" s="4">
        <f>SUM(AH23:AH26)</f>
        <v>126</v>
      </c>
      <c r="AI27" s="14">
        <f>AH27/$AH$36</f>
        <v>0.8</v>
      </c>
    </row>
    <row r="28" spans="1:35" ht="19.5" x14ac:dyDescent="0.45">
      <c r="A28" s="40" t="s">
        <v>48</v>
      </c>
      <c r="B28" s="40"/>
      <c r="C28" s="6"/>
      <c r="D28" s="6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6"/>
      <c r="K28" s="6"/>
      <c r="L28" s="3">
        <f>7.5-L27</f>
        <v>2</v>
      </c>
      <c r="M28" s="3">
        <f>7.5-M27</f>
        <v>1</v>
      </c>
      <c r="N28" s="3">
        <f>7.5-N27</f>
        <v>1.5</v>
      </c>
      <c r="O28" s="3">
        <f>7.5-O27</f>
        <v>0</v>
      </c>
      <c r="P28" s="3">
        <f>7.5-P27</f>
        <v>0</v>
      </c>
      <c r="Q28" s="6"/>
      <c r="R28" s="6"/>
      <c r="S28" s="3">
        <f>7.5-S27</f>
        <v>2.5</v>
      </c>
      <c r="T28" s="9">
        <f>7.5-T27</f>
        <v>7.5</v>
      </c>
      <c r="U28" s="3">
        <f>7.5-U27</f>
        <v>2</v>
      </c>
      <c r="V28" s="3">
        <f>7.5-V27</f>
        <v>1.5</v>
      </c>
      <c r="W28" s="3">
        <f>7.5-W27</f>
        <v>3</v>
      </c>
      <c r="X28" s="6"/>
      <c r="Y28" s="6"/>
      <c r="Z28" s="3">
        <f>7.5-Z27</f>
        <v>0</v>
      </c>
      <c r="AA28" s="3">
        <f>7.5-AA27</f>
        <v>1</v>
      </c>
      <c r="AB28" s="3">
        <f>7.5-AB27</f>
        <v>-0.5</v>
      </c>
      <c r="AC28" s="12"/>
      <c r="AD28" s="3">
        <f>7.5-AD27</f>
        <v>1.5</v>
      </c>
      <c r="AE28" s="6"/>
      <c r="AF28" s="6"/>
      <c r="AG28" s="3">
        <f>7.5-AG27</f>
        <v>1</v>
      </c>
      <c r="AH28" s="3">
        <f t="shared" ref="AH28:AH34" si="0">SUM(C28:AG28)</f>
        <v>24</v>
      </c>
    </row>
    <row r="29" spans="1:35" ht="19.5" x14ac:dyDescent="0.45">
      <c r="A29" s="40"/>
      <c r="B29" s="40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9"/>
      <c r="U29" s="3"/>
      <c r="V29" s="3"/>
      <c r="W29" s="3"/>
      <c r="X29" s="6"/>
      <c r="Y29" s="6"/>
      <c r="Z29" s="3"/>
      <c r="AA29" s="3"/>
      <c r="AB29" s="3"/>
      <c r="AC29" s="12"/>
      <c r="AD29" s="3"/>
      <c r="AE29" s="6"/>
      <c r="AF29" s="6"/>
      <c r="AG29" s="3"/>
      <c r="AH29" s="3">
        <f t="shared" si="0"/>
        <v>0</v>
      </c>
    </row>
    <row r="30" spans="1:35" ht="19.5" x14ac:dyDescent="0.45">
      <c r="A30" s="40"/>
      <c r="B30" s="40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9"/>
      <c r="U30" s="3"/>
      <c r="V30" s="3"/>
      <c r="W30" s="3"/>
      <c r="X30" s="6"/>
      <c r="Y30" s="6"/>
      <c r="Z30" s="3"/>
      <c r="AA30" s="3"/>
      <c r="AB30" s="3"/>
      <c r="AC30" s="12"/>
      <c r="AD30" s="3"/>
      <c r="AE30" s="6"/>
      <c r="AF30" s="6"/>
      <c r="AG30" s="3"/>
      <c r="AH30" s="3">
        <f t="shared" si="0"/>
        <v>0</v>
      </c>
    </row>
    <row r="31" spans="1:35" ht="19.5" x14ac:dyDescent="0.45">
      <c r="A31" s="40"/>
      <c r="B31" s="40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9"/>
      <c r="U31" s="3"/>
      <c r="V31" s="3"/>
      <c r="W31" s="3"/>
      <c r="X31" s="6"/>
      <c r="Y31" s="6"/>
      <c r="Z31" s="3"/>
      <c r="AA31" s="3"/>
      <c r="AB31" s="3"/>
      <c r="AC31" s="12"/>
      <c r="AD31" s="3"/>
      <c r="AE31" s="6"/>
      <c r="AF31" s="6"/>
      <c r="AG31" s="3"/>
      <c r="AH31" s="3">
        <f t="shared" si="0"/>
        <v>0</v>
      </c>
    </row>
    <row r="32" spans="1:35" ht="19.5" x14ac:dyDescent="0.45">
      <c r="A32" s="40" t="s">
        <v>49</v>
      </c>
      <c r="B32" s="40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9"/>
      <c r="U32" s="3"/>
      <c r="V32" s="3"/>
      <c r="W32" s="3"/>
      <c r="X32" s="6"/>
      <c r="Y32" s="6"/>
      <c r="Z32" s="3"/>
      <c r="AA32" s="3"/>
      <c r="AB32" s="3"/>
      <c r="AC32" s="12"/>
      <c r="AD32" s="3"/>
      <c r="AE32" s="6"/>
      <c r="AF32" s="6"/>
      <c r="AG32" s="3"/>
      <c r="AH32" s="3">
        <f t="shared" si="0"/>
        <v>0</v>
      </c>
    </row>
    <row r="33" spans="1:34" ht="19.5" x14ac:dyDescent="0.45">
      <c r="A33" s="40" t="s">
        <v>50</v>
      </c>
      <c r="B33" s="40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9"/>
      <c r="U33" s="3"/>
      <c r="V33" s="3"/>
      <c r="W33" s="3"/>
      <c r="X33" s="6"/>
      <c r="Y33" s="6"/>
      <c r="Z33" s="3"/>
      <c r="AA33" s="3"/>
      <c r="AB33" s="3"/>
      <c r="AC33" s="12">
        <v>7.5</v>
      </c>
      <c r="AD33" s="3"/>
      <c r="AE33" s="6"/>
      <c r="AF33" s="6"/>
      <c r="AG33" s="3"/>
      <c r="AH33" s="3">
        <f t="shared" si="0"/>
        <v>7.5</v>
      </c>
    </row>
    <row r="34" spans="1:34" ht="19.5" x14ac:dyDescent="0.45">
      <c r="A34" s="40" t="s">
        <v>51</v>
      </c>
      <c r="B34" s="40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9"/>
      <c r="U34" s="3"/>
      <c r="V34" s="3"/>
      <c r="W34" s="3"/>
      <c r="X34" s="6"/>
      <c r="Y34" s="6"/>
      <c r="Z34" s="3"/>
      <c r="AA34" s="3"/>
      <c r="AB34" s="3"/>
      <c r="AC34" s="12"/>
      <c r="AD34" s="3"/>
      <c r="AE34" s="6"/>
      <c r="AF34" s="6"/>
      <c r="AG34" s="3"/>
      <c r="AH34" s="3">
        <f t="shared" si="0"/>
        <v>0</v>
      </c>
    </row>
    <row r="35" spans="1:34" ht="19.5" x14ac:dyDescent="0.45">
      <c r="A35" s="15" t="s">
        <v>52</v>
      </c>
      <c r="B35" s="15"/>
      <c r="C35" s="7"/>
      <c r="D35" s="7"/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7"/>
      <c r="K35" s="7"/>
      <c r="L35" s="4">
        <f>SUM(L27:L31)</f>
        <v>7.5</v>
      </c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7"/>
      <c r="R35" s="7"/>
      <c r="S35" s="4">
        <f>SUM(S27:S31)</f>
        <v>7.5</v>
      </c>
      <c r="T35" s="10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7"/>
      <c r="Y35" s="7"/>
      <c r="Z35" s="4">
        <f>SUM(Z27:Z31)</f>
        <v>7.5</v>
      </c>
      <c r="AA35" s="4">
        <f>SUM(AA27:AA31)</f>
        <v>7.5</v>
      </c>
      <c r="AB35" s="4">
        <f>SUM(AB27:AB31)</f>
        <v>7.5</v>
      </c>
      <c r="AC35" s="13"/>
      <c r="AD35" s="4">
        <f>SUM(AD27:AD31)</f>
        <v>7.5</v>
      </c>
      <c r="AE35" s="7"/>
      <c r="AF35" s="7"/>
      <c r="AG35" s="4">
        <f>SUM(AG27:AG31)</f>
        <v>7.5</v>
      </c>
      <c r="AH35" s="4">
        <f>SUM(AH27:AH31)</f>
        <v>150</v>
      </c>
    </row>
    <row r="36" spans="1:34" ht="19.5" x14ac:dyDescent="0.45">
      <c r="A36" s="15" t="s">
        <v>53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2">
        <f>SUM(AH32:AH35)</f>
        <v>157.5</v>
      </c>
    </row>
    <row r="39" spans="1:34" x14ac:dyDescent="0.35">
      <c r="A39" s="34" t="s">
        <v>54</v>
      </c>
      <c r="B39" s="34" t="s">
        <v>55</v>
      </c>
      <c r="W39" s="42" t="s">
        <v>57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4" x14ac:dyDescent="0.3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4" ht="19.5" x14ac:dyDescent="0.35">
      <c r="A41" s="35"/>
      <c r="B41" s="17" t="s">
        <v>56</v>
      </c>
      <c r="W41" s="48"/>
      <c r="X41" s="49"/>
      <c r="Y41" s="49"/>
      <c r="Z41" s="49"/>
      <c r="AA41" s="50"/>
      <c r="AB41" s="51" t="s">
        <v>58</v>
      </c>
      <c r="AC41" s="49"/>
      <c r="AD41" s="49"/>
      <c r="AE41" s="50"/>
    </row>
    <row r="43" spans="1:34" ht="19.5" x14ac:dyDescent="0.35">
      <c r="A43" s="52" t="s">
        <v>59</v>
      </c>
      <c r="B43" s="53"/>
    </row>
    <row r="44" spans="1:34" ht="19.5" x14ac:dyDescent="0.45">
      <c r="A44" s="2" t="s">
        <v>60</v>
      </c>
      <c r="B44" s="2" t="s">
        <v>61</v>
      </c>
      <c r="C44" s="2" t="s">
        <v>62</v>
      </c>
      <c r="D44" s="2" t="s">
        <v>63</v>
      </c>
      <c r="E44" s="2" t="s">
        <v>64</v>
      </c>
    </row>
    <row r="45" spans="1:34" x14ac:dyDescent="0.35">
      <c r="A45" t="s">
        <v>65</v>
      </c>
      <c r="B45" t="s">
        <v>67</v>
      </c>
      <c r="C45">
        <v>100</v>
      </c>
      <c r="D45" t="s">
        <v>66</v>
      </c>
      <c r="E45" t="s">
        <v>66</v>
      </c>
    </row>
    <row r="47" spans="1:34" x14ac:dyDescent="0.35">
      <c r="A47" t="s">
        <v>68</v>
      </c>
      <c r="B47" t="s">
        <v>67</v>
      </c>
      <c r="C47">
        <v>100</v>
      </c>
      <c r="D47" t="s">
        <v>66</v>
      </c>
      <c r="E47" t="s">
        <v>66</v>
      </c>
    </row>
  </sheetData>
  <mergeCells count="71">
    <mergeCell ref="A43:B43"/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2024-04-16T14:52:05Z</dcterms:created>
  <dcterms:modified xsi:type="dcterms:W3CDTF">2024-04-16T16:49:39Z</dcterms:modified>
  <cp:category/>
</cp:coreProperties>
</file>