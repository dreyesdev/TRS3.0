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udith Rosell Rosell\"/>
    </mc:Choice>
  </mc:AlternateContent>
  <xr:revisionPtr revIDLastSave="0" documentId="13_ncr:1_{ECD1D25A-BF83-4EB2-81E7-A1D292588A72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W25" i="1"/>
  <c r="V25" i="1"/>
  <c r="V32" i="1" s="1"/>
  <c r="G25" i="1"/>
  <c r="C25" i="1"/>
  <c r="AE24" i="1"/>
  <c r="AD24" i="1"/>
  <c r="AC24" i="1"/>
  <c r="AB24" i="1"/>
  <c r="X24" i="1"/>
  <c r="X25" i="1" s="1"/>
  <c r="W24" i="1"/>
  <c r="V24" i="1"/>
  <c r="U24" i="1"/>
  <c r="U25" i="1" s="1"/>
  <c r="U32" i="1" s="1"/>
  <c r="T24" i="1"/>
  <c r="T25" i="1" s="1"/>
  <c r="Q24" i="1"/>
  <c r="Q25" i="1" s="1"/>
  <c r="P24" i="1"/>
  <c r="O24" i="1"/>
  <c r="N24" i="1"/>
  <c r="J24" i="1"/>
  <c r="I24" i="1"/>
  <c r="H24" i="1"/>
  <c r="G24" i="1"/>
  <c r="F24" i="1"/>
  <c r="F25" i="1" s="1"/>
  <c r="C24" i="1"/>
  <c r="AG23" i="1"/>
  <c r="AG24" i="1" s="1"/>
  <c r="X32" i="1" l="1"/>
  <c r="W32" i="1"/>
  <c r="G32" i="1"/>
  <c r="F32" i="1"/>
  <c r="P16" i="1"/>
  <c r="X16" i="1" s="1"/>
  <c r="Q32" i="1"/>
  <c r="T32" i="1"/>
  <c r="H25" i="1"/>
  <c r="AB25" i="1"/>
  <c r="AB32" i="1" s="1"/>
  <c r="I25" i="1"/>
  <c r="I32" i="1" s="1"/>
  <c r="AC25" i="1"/>
  <c r="AC32" i="1" s="1"/>
  <c r="J25" i="1"/>
  <c r="J32" i="1" s="1"/>
  <c r="AD25" i="1"/>
  <c r="AD32" i="1" s="1"/>
  <c r="C32" i="1"/>
  <c r="N25" i="1"/>
  <c r="N32" i="1" s="1"/>
  <c r="AE25" i="1"/>
  <c r="AE32" i="1" s="1"/>
  <c r="O25" i="1"/>
  <c r="O32" i="1" s="1"/>
  <c r="P25" i="1"/>
  <c r="P32" i="1" s="1"/>
  <c r="AG25" i="1" l="1"/>
  <c r="AG32" i="1" s="1"/>
  <c r="H16" i="1" s="1"/>
  <c r="H32" i="1"/>
  <c r="AG33" i="1" l="1"/>
  <c r="AH23" i="1" s="1"/>
  <c r="AH24" i="1" l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<sst xmlns="http://schemas.openxmlformats.org/spreadsheetml/2006/main" count="76" uniqueCount="52">
  <si>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</si>
  <si>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</si>
  <si>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</si>
  <si>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</si>
  <si>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</si>
  <si>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</si>
  <si>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</si>
  <si>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</si>
  <si>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</si>
  <si>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Judith Rosell Rosell</t>
  </si>
  <si>
    <t>Re1 (junior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</si>
  <si>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</si>
  <si>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</si>
  <si>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</si>
  <si>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</si>
  <si>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</si>
  <si>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</si>
  <si>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</si>
  <si>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</si>
  <si>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</si>
  <si>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</si>
  <si>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</si>
  <si>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</si>
  <si>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</si>
  <si>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</si>
  <si>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</si>
  <si>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</si>
  <si>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</si>
  <si>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</si>
  <si>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</si>
  <si>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</si>
  <si>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</si>
  <si>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</si>
  <si>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</si>
  <si>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</si>
  <si>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</si>
  <si>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</si>
  <si>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</si>
  <si>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</si>
  <si>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</si>
  <si>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PE104800 BIOMATDB - WP4 DEVELOP: Database System, Data Analysis Tools, Web Applications, Backend Modules, and Multilingual Frontends</t>
  </si>
  <si>
    <t>Dedicacion: 10% Estimated:14.25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</si>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</sst>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zoomScale="55" zoomScaleNormal="55" workbookViewId="0">
      <selection activeCell="S47" sqref="R45:S47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34" t="s">
        <v>1</v>
      </c>
      <c r="D2" s="34"/>
      <c r="E2" s="34"/>
    </row>
    <row r="4" spans="1:33" ht="19.5" x14ac:dyDescent="0.45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3" ht="26" x14ac:dyDescent="0.6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45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45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45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45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45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45">
      <c r="F16" s="39" t="s">
        <v>17</v>
      </c>
      <c r="G16" s="40"/>
      <c r="H16" s="38">
        <f>AG32</f>
        <v>93.100000000000009</v>
      </c>
      <c r="I16" s="38"/>
      <c r="K16" s="39" t="s">
        <v>18</v>
      </c>
      <c r="L16" s="40"/>
      <c r="M16" s="40"/>
      <c r="N16" s="40"/>
      <c r="O16" s="40"/>
      <c r="P16" s="38">
        <f>AG24</f>
        <v>14</v>
      </c>
      <c r="Q16" s="38"/>
      <c r="S16" s="39" t="s">
        <v>19</v>
      </c>
      <c r="T16" s="40"/>
      <c r="U16" s="40"/>
      <c r="V16" s="40"/>
      <c r="W16" s="40"/>
      <c r="X16" s="38">
        <f>(P16/4.9) *0.65</f>
        <v>1.857142857142857</v>
      </c>
      <c r="Y16" s="38"/>
    </row>
    <row r="19" spans="1:34" ht="19.5" x14ac:dyDescent="0.45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16" t="s">
        <v>36</v>
      </c>
      <c r="AH19" s="17" t="s">
        <v>37</v>
      </c>
    </row>
    <row r="20" spans="1:34" ht="19.5" x14ac:dyDescent="0.45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16"/>
      <c r="AH20" s="19"/>
    </row>
    <row r="21" spans="1:34" ht="19.5" x14ac:dyDescent="0.45">
      <c r="A21" s="34" t="s">
        <v>38</v>
      </c>
      <c r="B21" s="34"/>
      <c r="C21" s="32"/>
      <c r="D21" s="36"/>
      <c r="E21" s="36"/>
      <c r="F21" s="32"/>
      <c r="G21" s="32"/>
      <c r="H21" s="32"/>
      <c r="I21" s="32"/>
      <c r="J21" s="32"/>
      <c r="K21" s="36"/>
      <c r="L21" s="36"/>
      <c r="M21" s="37"/>
      <c r="N21" s="32"/>
      <c r="O21" s="32"/>
      <c r="P21" s="32"/>
      <c r="Q21" s="32"/>
      <c r="R21" s="36"/>
      <c r="S21" s="36"/>
      <c r="T21" s="32"/>
      <c r="U21" s="32"/>
      <c r="V21" s="32"/>
      <c r="W21" s="32"/>
      <c r="X21" s="32"/>
      <c r="Y21" s="36"/>
      <c r="Z21" s="36"/>
      <c r="AA21" s="37"/>
      <c r="AB21" s="32"/>
      <c r="AC21" s="32"/>
      <c r="AD21" s="32"/>
      <c r="AE21" s="32"/>
      <c r="AF21" s="36"/>
      <c r="AG21" s="32"/>
      <c r="AH21" s="33"/>
    </row>
    <row r="22" spans="1:34" ht="19.5" x14ac:dyDescent="0.45">
      <c r="A22" s="35" t="s">
        <v>39</v>
      </c>
      <c r="B22" s="35"/>
      <c r="C22" s="32"/>
      <c r="D22" s="36"/>
      <c r="E22" s="36"/>
      <c r="F22" s="32"/>
      <c r="G22" s="32"/>
      <c r="H22" s="32"/>
      <c r="I22" s="32"/>
      <c r="J22" s="32"/>
      <c r="K22" s="36"/>
      <c r="L22" s="36"/>
      <c r="M22" s="37"/>
      <c r="N22" s="32"/>
      <c r="O22" s="32"/>
      <c r="P22" s="32"/>
      <c r="Q22" s="32"/>
      <c r="R22" s="36"/>
      <c r="S22" s="36"/>
      <c r="T22" s="32"/>
      <c r="U22" s="32"/>
      <c r="V22" s="32"/>
      <c r="W22" s="32"/>
      <c r="X22" s="32"/>
      <c r="Y22" s="36"/>
      <c r="Z22" s="36"/>
      <c r="AA22" s="37"/>
      <c r="AB22" s="32"/>
      <c r="AC22" s="32"/>
      <c r="AD22" s="32"/>
      <c r="AE22" s="32"/>
      <c r="AF22" s="36"/>
      <c r="AG22" s="32"/>
      <c r="AH22" s="33"/>
    </row>
    <row r="23" spans="1:34" ht="19.5" x14ac:dyDescent="0.45">
      <c r="A23" s="12" t="s">
        <v>40</v>
      </c>
      <c r="B23" s="12" t="s">
        <v>41</v>
      </c>
      <c r="C23" s="3">
        <v>0</v>
      </c>
      <c r="D23" s="6"/>
      <c r="E23" s="6"/>
      <c r="F23" s="3">
        <v>1</v>
      </c>
      <c r="G23" s="3">
        <v>2</v>
      </c>
      <c r="H23" s="3">
        <v>0</v>
      </c>
      <c r="I23" s="3">
        <v>1</v>
      </c>
      <c r="J23" s="3">
        <v>1</v>
      </c>
      <c r="K23" s="6"/>
      <c r="L23" s="6"/>
      <c r="M23" s="9"/>
      <c r="N23" s="3">
        <v>1</v>
      </c>
      <c r="O23" s="3">
        <v>0</v>
      </c>
      <c r="P23" s="3">
        <v>0</v>
      </c>
      <c r="Q23" s="3">
        <v>2</v>
      </c>
      <c r="R23" s="6"/>
      <c r="S23" s="6"/>
      <c r="T23" s="3">
        <v>2</v>
      </c>
      <c r="U23" s="3">
        <v>0</v>
      </c>
      <c r="V23" s="3">
        <v>1</v>
      </c>
      <c r="W23" s="3">
        <v>0</v>
      </c>
      <c r="X23" s="3">
        <v>0</v>
      </c>
      <c r="Y23" s="6"/>
      <c r="Z23" s="6"/>
      <c r="AA23" s="9"/>
      <c r="AB23" s="3">
        <v>0</v>
      </c>
      <c r="AC23" s="3">
        <v>1</v>
      </c>
      <c r="AD23" s="3">
        <v>0</v>
      </c>
      <c r="AE23" s="3">
        <v>2</v>
      </c>
      <c r="AF23" s="6"/>
      <c r="AG23" s="3">
        <f>SUM(C23:AF23)</f>
        <v>14</v>
      </c>
      <c r="AH23" s="13">
        <f>(AG23/$AG$33)*(1-0.35)</f>
        <v>9.7744360902255634E-2</v>
      </c>
    </row>
    <row r="24" spans="1:34" ht="19.5" x14ac:dyDescent="0.45">
      <c r="A24" s="30" t="s">
        <v>42</v>
      </c>
      <c r="B24" s="31"/>
      <c r="C24" s="4">
        <f>SUM(C23:C23)</f>
        <v>0</v>
      </c>
      <c r="D24" s="7"/>
      <c r="E24" s="7"/>
      <c r="F24" s="4">
        <f>SUM(F23:F23)</f>
        <v>1</v>
      </c>
      <c r="G24" s="4">
        <f>SUM(G23:G23)</f>
        <v>2</v>
      </c>
      <c r="H24" s="4">
        <f>SUM(H23:H23)</f>
        <v>0</v>
      </c>
      <c r="I24" s="4">
        <f>SUM(I23:I23)</f>
        <v>1</v>
      </c>
      <c r="J24" s="4">
        <f>SUM(J23:J23)</f>
        <v>1</v>
      </c>
      <c r="K24" s="7"/>
      <c r="L24" s="7"/>
      <c r="M24" s="10"/>
      <c r="N24" s="4">
        <f>SUM(N23:N23)</f>
        <v>1</v>
      </c>
      <c r="O24" s="4">
        <f>SUM(O23:O23)</f>
        <v>0</v>
      </c>
      <c r="P24" s="4">
        <f>SUM(P23:P23)</f>
        <v>0</v>
      </c>
      <c r="Q24" s="4">
        <f>SUM(Q23:Q23)</f>
        <v>2</v>
      </c>
      <c r="R24" s="7"/>
      <c r="S24" s="7"/>
      <c r="T24" s="4">
        <f>SUM(T23:T23)</f>
        <v>2</v>
      </c>
      <c r="U24" s="4">
        <f>SUM(U23:U23)</f>
        <v>0</v>
      </c>
      <c r="V24" s="4">
        <f>SUM(V23:V23)</f>
        <v>1</v>
      </c>
      <c r="W24" s="4">
        <f>SUM(W23:W23)</f>
        <v>0</v>
      </c>
      <c r="X24" s="4">
        <f>SUM(X23:X23)</f>
        <v>0</v>
      </c>
      <c r="Y24" s="7"/>
      <c r="Z24" s="7"/>
      <c r="AA24" s="10"/>
      <c r="AB24" s="4">
        <f>SUM(AB23:AB23)</f>
        <v>0</v>
      </c>
      <c r="AC24" s="4">
        <f>SUM(AC23:AC23)</f>
        <v>1</v>
      </c>
      <c r="AD24" s="4">
        <f>SUM(AD23:AD23)</f>
        <v>0</v>
      </c>
      <c r="AE24" s="4">
        <f>SUM(AE23:AE23)</f>
        <v>2</v>
      </c>
      <c r="AF24" s="7"/>
      <c r="AG24" s="4">
        <f>SUM(AG23:AG23)</f>
        <v>14</v>
      </c>
      <c r="AH24" s="11">
        <f>AG24/$AG$33</f>
        <v>0.15037593984962405</v>
      </c>
    </row>
    <row r="25" spans="1:34" ht="19.5" x14ac:dyDescent="0.45">
      <c r="A25" s="15" t="s">
        <v>43</v>
      </c>
      <c r="B25" s="15"/>
      <c r="C25" s="3">
        <f>4.9-C24</f>
        <v>4.9000000000000004</v>
      </c>
      <c r="D25" s="6"/>
      <c r="E25" s="6"/>
      <c r="F25" s="3">
        <f>4.9-F24</f>
        <v>3.9000000000000004</v>
      </c>
      <c r="G25" s="3">
        <f>4.9-G24</f>
        <v>2.9000000000000004</v>
      </c>
      <c r="H25" s="3">
        <f>4.9-H24</f>
        <v>4.9000000000000004</v>
      </c>
      <c r="I25" s="3">
        <f>4.9-I24</f>
        <v>3.9000000000000004</v>
      </c>
      <c r="J25" s="3">
        <f>4.9-J24</f>
        <v>3.9000000000000004</v>
      </c>
      <c r="K25" s="6"/>
      <c r="L25" s="6"/>
      <c r="M25" s="9"/>
      <c r="N25" s="3">
        <f>4.9-N24</f>
        <v>3.9000000000000004</v>
      </c>
      <c r="O25" s="3">
        <f>4.9-O24</f>
        <v>4.9000000000000004</v>
      </c>
      <c r="P25" s="3">
        <f>4.9-P24</f>
        <v>4.9000000000000004</v>
      </c>
      <c r="Q25" s="3">
        <f>4.9-Q24</f>
        <v>2.9000000000000004</v>
      </c>
      <c r="R25" s="6"/>
      <c r="S25" s="6"/>
      <c r="T25" s="3">
        <f>4.9-T24</f>
        <v>2.9000000000000004</v>
      </c>
      <c r="U25" s="3">
        <f>4.9-U24</f>
        <v>4.9000000000000004</v>
      </c>
      <c r="V25" s="3">
        <f>4.9-V24</f>
        <v>3.9000000000000004</v>
      </c>
      <c r="W25" s="3">
        <f>4.9-W24</f>
        <v>4.9000000000000004</v>
      </c>
      <c r="X25" s="3">
        <f>4.9-X24</f>
        <v>4.9000000000000004</v>
      </c>
      <c r="Y25" s="6"/>
      <c r="Z25" s="6"/>
      <c r="AA25" s="9"/>
      <c r="AB25" s="3">
        <f>4.9-AB24</f>
        <v>4.9000000000000004</v>
      </c>
      <c r="AC25" s="3">
        <f>4.9-AC24</f>
        <v>3.9000000000000004</v>
      </c>
      <c r="AD25" s="3">
        <f>4.9-AD24</f>
        <v>4.9000000000000004</v>
      </c>
      <c r="AE25" s="3">
        <f>4.9-AE24</f>
        <v>2.9000000000000004</v>
      </c>
      <c r="AF25" s="6"/>
      <c r="AG25" s="3">
        <f t="shared" ref="AG25:AG31" si="0">SUM(C25:AF25)</f>
        <v>79.100000000000009</v>
      </c>
    </row>
    <row r="26" spans="1:34" ht="19.5" x14ac:dyDescent="0.45">
      <c r="A26" s="15"/>
      <c r="B26" s="15"/>
      <c r="C26" s="3"/>
      <c r="D26" s="6"/>
      <c r="E26" s="6"/>
      <c r="F26" s="3"/>
      <c r="G26" s="3"/>
      <c r="H26" s="3"/>
      <c r="I26" s="3"/>
      <c r="J26" s="3"/>
      <c r="K26" s="6"/>
      <c r="L26" s="6"/>
      <c r="M26" s="9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9"/>
      <c r="AB26" s="3"/>
      <c r="AC26" s="3"/>
      <c r="AD26" s="3"/>
      <c r="AE26" s="3"/>
      <c r="AF26" s="6"/>
      <c r="AG26" s="3">
        <f t="shared" si="0"/>
        <v>0</v>
      </c>
    </row>
    <row r="27" spans="1:34" ht="19.5" x14ac:dyDescent="0.45">
      <c r="A27" s="15"/>
      <c r="B27" s="15"/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0</v>
      </c>
    </row>
    <row r="28" spans="1:34" ht="19.5" x14ac:dyDescent="0.45">
      <c r="A28" s="15"/>
      <c r="B28" s="15"/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45">
      <c r="A29" s="15" t="s">
        <v>44</v>
      </c>
      <c r="B29" s="15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45">
      <c r="A30" s="15" t="s">
        <v>45</v>
      </c>
      <c r="B30" s="15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45">
      <c r="A31" s="15" t="s">
        <v>46</v>
      </c>
      <c r="B31" s="15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45">
      <c r="A32" s="12" t="s">
        <v>47</v>
      </c>
      <c r="B32" s="12"/>
      <c r="C32" s="4">
        <f>SUM(C24:C28)</f>
        <v>4.9000000000000004</v>
      </c>
      <c r="D32" s="7"/>
      <c r="E32" s="7"/>
      <c r="F32" s="4">
        <f>SUM(F24:F28)</f>
        <v>4.9000000000000004</v>
      </c>
      <c r="G32" s="4">
        <f>SUM(G24:G28)</f>
        <v>4.9000000000000004</v>
      </c>
      <c r="H32" s="4">
        <f>SUM(H24:H28)</f>
        <v>4.9000000000000004</v>
      </c>
      <c r="I32" s="4">
        <f>SUM(I24:I28)</f>
        <v>4.9000000000000004</v>
      </c>
      <c r="J32" s="4">
        <f>SUM(J24:J28)</f>
        <v>4.9000000000000004</v>
      </c>
      <c r="K32" s="7"/>
      <c r="L32" s="7"/>
      <c r="M32" s="10"/>
      <c r="N32" s="4">
        <f>SUM(N24:N28)</f>
        <v>4.9000000000000004</v>
      </c>
      <c r="O32" s="4">
        <f>SUM(O24:O28)</f>
        <v>4.9000000000000004</v>
      </c>
      <c r="P32" s="4">
        <f>SUM(P24:P28)</f>
        <v>4.9000000000000004</v>
      </c>
      <c r="Q32" s="4">
        <f>SUM(Q24:Q28)</f>
        <v>4.9000000000000004</v>
      </c>
      <c r="R32" s="7"/>
      <c r="S32" s="7"/>
      <c r="T32" s="4">
        <f>SUM(T24:T28)</f>
        <v>4.9000000000000004</v>
      </c>
      <c r="U32" s="4">
        <f>SUM(U24:U28)</f>
        <v>4.9000000000000004</v>
      </c>
      <c r="V32" s="4">
        <f>SUM(V24:V28)</f>
        <v>4.9000000000000004</v>
      </c>
      <c r="W32" s="4">
        <f>SUM(W24:W28)</f>
        <v>4.9000000000000004</v>
      </c>
      <c r="X32" s="4">
        <f>SUM(X24:X28)</f>
        <v>4.9000000000000004</v>
      </c>
      <c r="Y32" s="7"/>
      <c r="Z32" s="7"/>
      <c r="AA32" s="10"/>
      <c r="AB32" s="4">
        <f>SUM(AB24:AB28)</f>
        <v>4.9000000000000004</v>
      </c>
      <c r="AC32" s="4">
        <f>SUM(AC24:AC28)</f>
        <v>4.9000000000000004</v>
      </c>
      <c r="AD32" s="4">
        <f>SUM(AD24:AD28)</f>
        <v>4.9000000000000004</v>
      </c>
      <c r="AE32" s="4">
        <f>SUM(AE24:AE28)</f>
        <v>4.9000000000000004</v>
      </c>
      <c r="AF32" s="7"/>
      <c r="AG32" s="4">
        <f>SUM(AG24:AG28)</f>
        <v>93.100000000000009</v>
      </c>
    </row>
    <row r="33" spans="1:33" ht="19.5" x14ac:dyDescent="0.45">
      <c r="A33" s="12" t="s">
        <v>48</v>
      </c>
      <c r="B33" s="1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2">
        <f>SUM(AG29:AG32)</f>
        <v>93.100000000000009</v>
      </c>
    </row>
    <row r="36" spans="1:33" x14ac:dyDescent="0.35">
      <c r="A36" s="17" t="s">
        <v>49</v>
      </c>
      <c r="B36" s="17" t="s">
        <v>50</v>
      </c>
      <c r="W36" s="20" t="s">
        <v>51</v>
      </c>
      <c r="X36" s="21"/>
      <c r="Y36" s="21"/>
      <c r="Z36" s="21"/>
      <c r="AA36" s="22"/>
      <c r="AB36" s="20" t="s">
        <v>9</v>
      </c>
      <c r="AC36" s="21"/>
      <c r="AD36" s="21"/>
      <c r="AE36" s="22"/>
    </row>
    <row r="37" spans="1:33" x14ac:dyDescent="0.35">
      <c r="A37" s="18"/>
      <c r="B37" s="18"/>
      <c r="W37" s="23"/>
      <c r="X37" s="24"/>
      <c r="Y37" s="24"/>
      <c r="Z37" s="24"/>
      <c r="AA37" s="25"/>
      <c r="AB37" s="23"/>
      <c r="AC37" s="24"/>
      <c r="AD37" s="24"/>
      <c r="AE37" s="25"/>
    </row>
    <row r="38" spans="1:33" ht="19.5" x14ac:dyDescent="0.35">
      <c r="A38" s="19"/>
      <c r="B38" s="14">
        <v>45205</v>
      </c>
      <c r="W38" s="26"/>
      <c r="X38" s="27"/>
      <c r="Y38" s="27"/>
      <c r="Z38" s="27"/>
      <c r="AA38" s="28"/>
      <c r="AB38" s="29"/>
      <c r="AC38" s="27"/>
      <c r="AD38" s="27"/>
      <c r="AE38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4:B24"/>
    <mergeCell ref="A25:B25"/>
    <mergeCell ref="A26:B26"/>
    <mergeCell ref="A27:B27"/>
    <mergeCell ref="A28:B28"/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2024-01-05T08:58:22Z</dcterms:created>
  <dcterms:modified xsi:type="dcterms:W3CDTF">2024-01-08T12:12:15Z</dcterms:modified>
  <cp:category/>
</cp:coreProperties>
</file>