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09CBC284-6CEC-4EAD-B039-569CD90EB7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G27" i="1" s="1"/>
  <c r="AF26" i="1"/>
  <c r="AE26" i="1"/>
  <c r="AE27" i="1" s="1"/>
  <c r="AB26" i="1"/>
  <c r="AB27" i="1" s="1"/>
  <c r="AA26" i="1"/>
  <c r="Z26" i="1"/>
  <c r="Z27" i="1" s="1"/>
  <c r="Z34" i="1" s="1"/>
  <c r="Y26" i="1"/>
  <c r="Y27" i="1" s="1"/>
  <c r="Y34" i="1" s="1"/>
  <c r="X26" i="1"/>
  <c r="X27" i="1" s="1"/>
  <c r="X34" i="1" s="1"/>
  <c r="U26" i="1"/>
  <c r="U27" i="1" s="1"/>
  <c r="U34" i="1" s="1"/>
  <c r="T26" i="1"/>
  <c r="T27" i="1" s="1"/>
  <c r="T34" i="1" s="1"/>
  <c r="S26" i="1"/>
  <c r="R26" i="1"/>
  <c r="Q26" i="1"/>
  <c r="N26" i="1"/>
  <c r="N27" i="1" s="1"/>
  <c r="M26" i="1"/>
  <c r="M27" i="1" s="1"/>
  <c r="L26" i="1"/>
  <c r="L27" i="1" s="1"/>
  <c r="K26" i="1"/>
  <c r="K27" i="1" s="1"/>
  <c r="J26" i="1"/>
  <c r="J27" i="1" s="1"/>
  <c r="J34" i="1" s="1"/>
  <c r="G26" i="1"/>
  <c r="G27" i="1" s="1"/>
  <c r="G34" i="1" s="1"/>
  <c r="F26" i="1"/>
  <c r="F27" i="1" s="1"/>
  <c r="F34" i="1" s="1"/>
  <c r="E26" i="1"/>
  <c r="E27" i="1" s="1"/>
  <c r="E34" i="1" s="1"/>
  <c r="D26" i="1"/>
  <c r="D27" i="1" s="1"/>
  <c r="AH25" i="1"/>
  <c r="AH24" i="1"/>
  <c r="AH23" i="1"/>
  <c r="D34" i="1" l="1"/>
  <c r="AF27" i="1"/>
  <c r="AF34" i="1" s="1"/>
  <c r="AH26" i="1"/>
  <c r="K34" i="1"/>
  <c r="S27" i="1"/>
  <c r="S34" i="1" s="1"/>
  <c r="L34" i="1"/>
  <c r="M34" i="1"/>
  <c r="AE34" i="1"/>
  <c r="N34" i="1"/>
  <c r="AA27" i="1"/>
  <c r="AA34" i="1" s="1"/>
  <c r="R27" i="1"/>
  <c r="R34" i="1" s="1"/>
  <c r="AB34" i="1"/>
  <c r="AG34" i="1"/>
  <c r="Q27" i="1"/>
  <c r="Q34" i="1" s="1"/>
  <c r="AH27" i="1" l="1"/>
  <c r="AH34" i="1" s="1"/>
  <c r="P16" i="1"/>
  <c r="X16" i="1" s="1"/>
  <c r="H16" i="1" l="1"/>
  <c r="AH35" i="1"/>
  <c r="AI24" i="1" l="1"/>
  <c r="AI25" i="1"/>
  <c r="AI23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<sst xmlns="http://schemas.openxmlformats.org/spreadsheetml/2006/main" count="83" uniqueCount="57">
  <si>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</si>
  <si>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</si>
  <si>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</si>
  <si>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</si>
  <si>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</si>
  <si>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</si>
  <si>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</si>
  <si>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</si>
  <si>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</si>
  <si>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</si>
  <si>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</si>
  <si>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</si>
  <si>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</si>
  <si>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</si>
  <si>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</si>
  <si>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</si>
  <si>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</si>
  <si>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</si>
  <si>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</si>
  <si>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</si>
  <si>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</si>
  <si>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</si>
  <si>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</si>
  <si>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</si>
  <si>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</si>
  <si>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</si>
  <si>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</si>
  <si>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</si>
  <si>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</si>
  <si>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</si>
  <si>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</si>
  <si>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</si>
  <si>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</si>
  <si>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</si>
  <si>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</si>
  <si>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</si>
  <si>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</si>
  <si>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</si>
  <si>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</si>
  <si>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</si>
  <si>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WP7 Integration with AI-on-Demand platform</t>
  </si>
  <si>
    <t>Dedicacion: 2% Estimated:3.3 h</t>
  </si>
  <si>
    <t>PE083700 AI4MEDIA - WP5 Content-centered AI</t>
  </si>
  <si>
    <t>Dedicacion: 5% Estimated:8.25 h</t>
  </si>
  <si>
    <t>PE118600 SoBigData RI PPP - WP7 National Nodes</t>
  </si>
  <si>
    <t>Dedicacion: 9% Estimated:14.85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</si>
  <si>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</si>
  <si>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</si>
  <si>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</si>
  <si>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</si>
  <si>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</si>
  <si>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</si>
  <si>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</si>
  <si>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</si>
  <si>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</si>
  <si>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2024-02-05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</si>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</sst>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A9" workbookViewId="0">
      <selection activeCell="K26" sqref="K26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AH34</f>
        <v>26.4</v>
      </c>
      <c r="I16" s="25"/>
      <c r="K16" s="24" t="s">
        <v>18</v>
      </c>
      <c r="L16" s="16"/>
      <c r="M16" s="16"/>
      <c r="N16" s="16"/>
      <c r="O16" s="16"/>
      <c r="P16" s="26">
        <f>AH26</f>
        <v>26.4</v>
      </c>
      <c r="Q16" s="26"/>
      <c r="S16" s="24" t="s">
        <v>19</v>
      </c>
      <c r="T16" s="16"/>
      <c r="U16" s="16"/>
      <c r="V16" s="16"/>
      <c r="W16" s="16"/>
      <c r="X16" s="25">
        <f>(P16/1.2) *0.16</f>
        <v>3.52</v>
      </c>
      <c r="Y16" s="25"/>
    </row>
    <row r="19" spans="1:35" ht="19.8" x14ac:dyDescent="0.4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8" x14ac:dyDescent="0.4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8"/>
      <c r="E21" s="28"/>
      <c r="F21" s="28"/>
      <c r="G21" s="28"/>
      <c r="H21" s="27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28"/>
      <c r="AI21" s="33"/>
    </row>
    <row r="22" spans="1:35" ht="19.8" x14ac:dyDescent="0.4">
      <c r="A22" s="34" t="s">
        <v>39</v>
      </c>
      <c r="B22" s="34"/>
      <c r="C22" s="27"/>
      <c r="D22" s="28"/>
      <c r="E22" s="28"/>
      <c r="F22" s="28"/>
      <c r="G22" s="28"/>
      <c r="H22" s="27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28"/>
      <c r="AI22" s="33"/>
    </row>
    <row r="23" spans="1:35" ht="19.8" x14ac:dyDescent="0.4">
      <c r="A23" s="12" t="s">
        <v>40</v>
      </c>
      <c r="B23" s="12" t="s">
        <v>41</v>
      </c>
      <c r="C23" s="6"/>
      <c r="D23" s="3">
        <v>1.2</v>
      </c>
      <c r="E23" s="3"/>
      <c r="F23" s="3"/>
      <c r="G23" s="3"/>
      <c r="H23" s="6"/>
      <c r="I23" s="9"/>
      <c r="J23" s="3"/>
      <c r="K23" s="3"/>
      <c r="L23" s="3"/>
      <c r="M23" s="3"/>
      <c r="N23" s="3"/>
      <c r="O23" s="9"/>
      <c r="P23" s="9"/>
      <c r="Q23" s="3"/>
      <c r="R23" s="3">
        <v>1.2</v>
      </c>
      <c r="S23" s="3"/>
      <c r="T23" s="3"/>
      <c r="U23" s="3"/>
      <c r="V23" s="9"/>
      <c r="W23" s="9"/>
      <c r="X23" s="3"/>
      <c r="Y23" s="3"/>
      <c r="Z23" s="3"/>
      <c r="AA23" s="3"/>
      <c r="AB23" s="3"/>
      <c r="AC23" s="9"/>
      <c r="AD23" s="9"/>
      <c r="AE23" s="3"/>
      <c r="AF23" s="3">
        <v>0.9</v>
      </c>
      <c r="AG23" s="3"/>
      <c r="AH23" s="3">
        <f>SUM(C23:AG23)</f>
        <v>3.3</v>
      </c>
      <c r="AI23" s="13">
        <f>AH23/$AH$35*0.16</f>
        <v>0.02</v>
      </c>
    </row>
    <row r="24" spans="1:35" ht="19.8" x14ac:dyDescent="0.4">
      <c r="A24" s="12" t="s">
        <v>42</v>
      </c>
      <c r="B24" s="12" t="s">
        <v>43</v>
      </c>
      <c r="C24" s="6"/>
      <c r="D24" s="3"/>
      <c r="E24" s="3">
        <v>1.2</v>
      </c>
      <c r="F24" s="3"/>
      <c r="G24" s="3"/>
      <c r="H24" s="6"/>
      <c r="I24" s="9"/>
      <c r="J24" s="3">
        <v>1.2</v>
      </c>
      <c r="K24" s="3"/>
      <c r="L24" s="3"/>
      <c r="M24" s="3"/>
      <c r="N24" s="3"/>
      <c r="O24" s="9"/>
      <c r="P24" s="9"/>
      <c r="Q24" s="3"/>
      <c r="R24" s="3"/>
      <c r="S24" s="3">
        <v>1.2</v>
      </c>
      <c r="T24" s="3"/>
      <c r="U24" s="3"/>
      <c r="V24" s="9"/>
      <c r="W24" s="9"/>
      <c r="X24" s="3"/>
      <c r="Y24" s="3">
        <v>1.2</v>
      </c>
      <c r="Z24" s="3"/>
      <c r="AA24" s="3"/>
      <c r="AB24" s="3">
        <v>1.2</v>
      </c>
      <c r="AC24" s="9"/>
      <c r="AD24" s="9"/>
      <c r="AE24" s="3">
        <v>1.2</v>
      </c>
      <c r="AF24" s="3"/>
      <c r="AG24" s="3">
        <v>1</v>
      </c>
      <c r="AH24" s="3">
        <f>SUM(C24:AG24)</f>
        <v>8.1999999999999993</v>
      </c>
      <c r="AI24" s="13">
        <f t="shared" ref="AI24:AI25" si="0">AH24/$AH$35*0.16</f>
        <v>4.9696969696969698E-2</v>
      </c>
    </row>
    <row r="25" spans="1:35" ht="19.8" x14ac:dyDescent="0.4">
      <c r="A25" s="12" t="s">
        <v>44</v>
      </c>
      <c r="B25" s="12" t="s">
        <v>45</v>
      </c>
      <c r="C25" s="6"/>
      <c r="D25" s="3"/>
      <c r="E25" s="3"/>
      <c r="F25" s="3">
        <v>1.2</v>
      </c>
      <c r="G25" s="3">
        <v>1.2</v>
      </c>
      <c r="H25" s="6"/>
      <c r="I25" s="9"/>
      <c r="J25" s="3"/>
      <c r="K25" s="3">
        <v>1.2</v>
      </c>
      <c r="L25" s="3">
        <v>1.2</v>
      </c>
      <c r="M25" s="3">
        <v>1.2</v>
      </c>
      <c r="N25" s="3">
        <v>1.2</v>
      </c>
      <c r="O25" s="9"/>
      <c r="P25" s="9"/>
      <c r="Q25" s="3">
        <v>1.2</v>
      </c>
      <c r="R25" s="3"/>
      <c r="S25" s="3"/>
      <c r="T25" s="3">
        <v>1.2</v>
      </c>
      <c r="U25" s="3">
        <v>1.2</v>
      </c>
      <c r="V25" s="9"/>
      <c r="W25" s="9"/>
      <c r="X25" s="3">
        <v>1.2</v>
      </c>
      <c r="Y25" s="3"/>
      <c r="Z25" s="3">
        <v>1.2</v>
      </c>
      <c r="AA25" s="3">
        <v>1.2</v>
      </c>
      <c r="AB25" s="3"/>
      <c r="AC25" s="9"/>
      <c r="AD25" s="9"/>
      <c r="AE25" s="3"/>
      <c r="AF25" s="3">
        <v>0.3</v>
      </c>
      <c r="AG25" s="3">
        <v>0.2</v>
      </c>
      <c r="AH25" s="3">
        <f>SUM(C25:AG25)</f>
        <v>14.899999999999997</v>
      </c>
      <c r="AI25" s="13">
        <f t="shared" si="0"/>
        <v>9.0303030303030302E-2</v>
      </c>
    </row>
    <row r="26" spans="1:35" ht="19.8" x14ac:dyDescent="0.4">
      <c r="A26" s="35" t="s">
        <v>46</v>
      </c>
      <c r="B26" s="36"/>
      <c r="C26" s="7"/>
      <c r="D26" s="4">
        <f>SUM(D23:D25)</f>
        <v>1.2</v>
      </c>
      <c r="E26" s="4">
        <f>SUM(E23:E25)</f>
        <v>1.2</v>
      </c>
      <c r="F26" s="4">
        <f>SUM(F23:F25)</f>
        <v>1.2</v>
      </c>
      <c r="G26" s="4">
        <f>SUM(G23:G25)</f>
        <v>1.2</v>
      </c>
      <c r="H26" s="7"/>
      <c r="I26" s="10"/>
      <c r="J26" s="4">
        <f>SUM(J23:J25)</f>
        <v>1.2</v>
      </c>
      <c r="K26" s="4">
        <f>SUM(K23:K25)</f>
        <v>1.2</v>
      </c>
      <c r="L26" s="4">
        <f>SUM(L23:L25)</f>
        <v>1.2</v>
      </c>
      <c r="M26" s="4">
        <f>SUM(M23:M25)</f>
        <v>1.2</v>
      </c>
      <c r="N26" s="4">
        <f>SUM(N23:N25)</f>
        <v>1.2</v>
      </c>
      <c r="O26" s="10"/>
      <c r="P26" s="10"/>
      <c r="Q26" s="4">
        <f>SUM(Q23:Q25)</f>
        <v>1.2</v>
      </c>
      <c r="R26" s="4">
        <f>SUM(R23:R25)</f>
        <v>1.2</v>
      </c>
      <c r="S26" s="4">
        <f>SUM(S23:S25)</f>
        <v>1.2</v>
      </c>
      <c r="T26" s="4">
        <f>SUM(T23:T25)</f>
        <v>1.2</v>
      </c>
      <c r="U26" s="4">
        <f>SUM(U23:U25)</f>
        <v>1.2</v>
      </c>
      <c r="V26" s="10"/>
      <c r="W26" s="10"/>
      <c r="X26" s="4">
        <f>SUM(X23:X25)</f>
        <v>1.2</v>
      </c>
      <c r="Y26" s="4">
        <f>SUM(Y23:Y25)</f>
        <v>1.2</v>
      </c>
      <c r="Z26" s="4">
        <f>SUM(Z23:Z25)</f>
        <v>1.2</v>
      </c>
      <c r="AA26" s="4">
        <f>SUM(AA23:AA25)</f>
        <v>1.2</v>
      </c>
      <c r="AB26" s="4">
        <f>SUM(AB23:AB25)</f>
        <v>1.2</v>
      </c>
      <c r="AC26" s="10"/>
      <c r="AD26" s="10"/>
      <c r="AE26" s="4">
        <f>SUM(AE23:AE25)</f>
        <v>1.2</v>
      </c>
      <c r="AF26" s="4">
        <f>SUM(AF23:AF25)</f>
        <v>1.2</v>
      </c>
      <c r="AG26" s="4">
        <f>SUM(AG23:AG25)</f>
        <v>1.2</v>
      </c>
      <c r="AH26" s="4">
        <f>SUM(AH23:AH25)</f>
        <v>26.4</v>
      </c>
      <c r="AI26" s="11">
        <f>AH26/$AH$35</f>
        <v>1</v>
      </c>
    </row>
    <row r="27" spans="1:35" ht="19.8" x14ac:dyDescent="0.4">
      <c r="A27" s="37" t="s">
        <v>47</v>
      </c>
      <c r="B27" s="37"/>
      <c r="C27" s="6"/>
      <c r="D27" s="3">
        <f>1.2-D26</f>
        <v>0</v>
      </c>
      <c r="E27" s="3">
        <f>1.2-E26</f>
        <v>0</v>
      </c>
      <c r="F27" s="3">
        <f>1.2-F26</f>
        <v>0</v>
      </c>
      <c r="G27" s="3">
        <f>1.2-G26</f>
        <v>0</v>
      </c>
      <c r="H27" s="6"/>
      <c r="I27" s="9"/>
      <c r="J27" s="3">
        <f>1.2-J26</f>
        <v>0</v>
      </c>
      <c r="K27" s="3">
        <f>1.2-K26</f>
        <v>0</v>
      </c>
      <c r="L27" s="3">
        <f>1.2-L26</f>
        <v>0</v>
      </c>
      <c r="M27" s="3">
        <f>1.2-M26</f>
        <v>0</v>
      </c>
      <c r="N27" s="3">
        <f>1.2-N26</f>
        <v>0</v>
      </c>
      <c r="O27" s="9"/>
      <c r="P27" s="9"/>
      <c r="Q27" s="3">
        <f>1.2-Q26</f>
        <v>0</v>
      </c>
      <c r="R27" s="3">
        <f>1.2-R26</f>
        <v>0</v>
      </c>
      <c r="S27" s="3">
        <f>1.2-S26</f>
        <v>0</v>
      </c>
      <c r="T27" s="3">
        <f>1.2-T26</f>
        <v>0</v>
      </c>
      <c r="U27" s="3">
        <f>1.2-U26</f>
        <v>0</v>
      </c>
      <c r="V27" s="9"/>
      <c r="W27" s="9"/>
      <c r="X27" s="3">
        <f>1.2-X26</f>
        <v>0</v>
      </c>
      <c r="Y27" s="3">
        <f>1.2-Y26</f>
        <v>0</v>
      </c>
      <c r="Z27" s="3">
        <f>1.2-Z26</f>
        <v>0</v>
      </c>
      <c r="AA27" s="3">
        <f>1.2-AA26</f>
        <v>0</v>
      </c>
      <c r="AB27" s="3">
        <f>1.2-AB26</f>
        <v>0</v>
      </c>
      <c r="AC27" s="9"/>
      <c r="AD27" s="9"/>
      <c r="AE27" s="3">
        <f>1.2-AE26</f>
        <v>0</v>
      </c>
      <c r="AF27" s="3">
        <f>1.2-AF26</f>
        <v>0</v>
      </c>
      <c r="AG27" s="3">
        <f>1.2-AG26</f>
        <v>0</v>
      </c>
      <c r="AH27" s="3">
        <f t="shared" ref="AH27:AH33" si="1">SUM(C27:AG27)</f>
        <v>0</v>
      </c>
    </row>
    <row r="28" spans="1:35" ht="19.8" x14ac:dyDescent="0.4">
      <c r="A28" s="37"/>
      <c r="B28" s="37"/>
      <c r="C28" s="6"/>
      <c r="D28" s="3"/>
      <c r="E28" s="3"/>
      <c r="F28" s="3"/>
      <c r="G28" s="3"/>
      <c r="H28" s="6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1"/>
        <v>0</v>
      </c>
    </row>
    <row r="29" spans="1:35" ht="19.8" x14ac:dyDescent="0.4">
      <c r="A29" s="37"/>
      <c r="B29" s="37"/>
      <c r="C29" s="6"/>
      <c r="D29" s="3"/>
      <c r="E29" s="3"/>
      <c r="F29" s="3"/>
      <c r="G29" s="3"/>
      <c r="H29" s="6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1"/>
        <v>0</v>
      </c>
    </row>
    <row r="30" spans="1:35" ht="19.8" x14ac:dyDescent="0.4">
      <c r="A30" s="37"/>
      <c r="B30" s="37"/>
      <c r="C30" s="6"/>
      <c r="D30" s="3"/>
      <c r="E30" s="3"/>
      <c r="F30" s="3"/>
      <c r="G30" s="3"/>
      <c r="H30" s="6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1"/>
        <v>0</v>
      </c>
    </row>
    <row r="31" spans="1:35" ht="19.8" x14ac:dyDescent="0.4">
      <c r="A31" s="37" t="s">
        <v>48</v>
      </c>
      <c r="B31" s="37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1"/>
        <v>0</v>
      </c>
    </row>
    <row r="32" spans="1:35" ht="19.8" x14ac:dyDescent="0.4">
      <c r="A32" s="37" t="s">
        <v>49</v>
      </c>
      <c r="B32" s="37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1"/>
        <v>0</v>
      </c>
    </row>
    <row r="33" spans="1:34" ht="19.8" x14ac:dyDescent="0.4">
      <c r="A33" s="37" t="s">
        <v>50</v>
      </c>
      <c r="B33" s="37"/>
      <c r="C33" s="6"/>
      <c r="D33" s="3"/>
      <c r="E33" s="3"/>
      <c r="F33" s="3"/>
      <c r="G33" s="3"/>
      <c r="H33" s="6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1"/>
        <v>0</v>
      </c>
    </row>
    <row r="34" spans="1:34" ht="19.8" x14ac:dyDescent="0.4">
      <c r="A34" s="12" t="s">
        <v>51</v>
      </c>
      <c r="B34" s="12"/>
      <c r="C34" s="7"/>
      <c r="D34" s="4">
        <f>SUM(D26:D30)</f>
        <v>1.2</v>
      </c>
      <c r="E34" s="4">
        <f>SUM(E26:E30)</f>
        <v>1.2</v>
      </c>
      <c r="F34" s="4">
        <f>SUM(F26:F30)</f>
        <v>1.2</v>
      </c>
      <c r="G34" s="4">
        <f>SUM(G26:G30)</f>
        <v>1.2</v>
      </c>
      <c r="H34" s="7"/>
      <c r="I34" s="10"/>
      <c r="J34" s="4">
        <f>SUM(J26:J30)</f>
        <v>1.2</v>
      </c>
      <c r="K34" s="4">
        <f>SUM(K26:K30)</f>
        <v>1.2</v>
      </c>
      <c r="L34" s="4">
        <f>SUM(L26:L30)</f>
        <v>1.2</v>
      </c>
      <c r="M34" s="4">
        <f>SUM(M26:M30)</f>
        <v>1.2</v>
      </c>
      <c r="N34" s="4">
        <f>SUM(N26:N30)</f>
        <v>1.2</v>
      </c>
      <c r="O34" s="10"/>
      <c r="P34" s="10"/>
      <c r="Q34" s="4">
        <f>SUM(Q26:Q30)</f>
        <v>1.2</v>
      </c>
      <c r="R34" s="4">
        <f>SUM(R26:R30)</f>
        <v>1.2</v>
      </c>
      <c r="S34" s="4">
        <f>SUM(S26:S30)</f>
        <v>1.2</v>
      </c>
      <c r="T34" s="4">
        <f>SUM(T26:T30)</f>
        <v>1.2</v>
      </c>
      <c r="U34" s="4">
        <f>SUM(U26:U30)</f>
        <v>1.2</v>
      </c>
      <c r="V34" s="10"/>
      <c r="W34" s="10"/>
      <c r="X34" s="4">
        <f>SUM(X26:X30)</f>
        <v>1.2</v>
      </c>
      <c r="Y34" s="4">
        <f>SUM(Y26:Y30)</f>
        <v>1.2</v>
      </c>
      <c r="Z34" s="4">
        <f>SUM(Z26:Z30)</f>
        <v>1.2</v>
      </c>
      <c r="AA34" s="4">
        <f>SUM(AA26:AA30)</f>
        <v>1.2</v>
      </c>
      <c r="AB34" s="4">
        <f>SUM(AB26:AB30)</f>
        <v>1.2</v>
      </c>
      <c r="AC34" s="10"/>
      <c r="AD34" s="10"/>
      <c r="AE34" s="4">
        <f>SUM(AE26:AE30)</f>
        <v>1.2</v>
      </c>
      <c r="AF34" s="4">
        <f>SUM(AF26:AF30)</f>
        <v>1.2</v>
      </c>
      <c r="AG34" s="4">
        <f>SUM(AG26:AG30)</f>
        <v>1.2</v>
      </c>
      <c r="AH34" s="4">
        <f>SUM(AH26:AH30)</f>
        <v>26.4</v>
      </c>
    </row>
    <row r="35" spans="1:34" ht="19.8" x14ac:dyDescent="0.4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26.4</v>
      </c>
    </row>
    <row r="38" spans="1:34" x14ac:dyDescent="0.3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8" x14ac:dyDescent="0.3">
      <c r="A40" s="32"/>
      <c r="B40" s="14" t="s">
        <v>55</v>
      </c>
      <c r="W40" s="45"/>
      <c r="X40" s="46"/>
      <c r="Y40" s="46"/>
      <c r="Z40" s="46"/>
      <c r="AA40" s="47"/>
      <c r="AB40" s="48" t="s">
        <v>55</v>
      </c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2024-09-09T10:47:40Z</dcterms:created>
  <dcterms:modified xsi:type="dcterms:W3CDTF">2024-09-09T12:54:59Z</dcterms:modified>
  <cp:category/>
</cp:coreProperties>
</file>