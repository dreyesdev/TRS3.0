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Xavier domingo Soldado\"/>
    </mc:Choice>
  </mc:AlternateContent>
  <xr:revisionPtr revIDLastSave="0" documentId="8_{6E740EAE-6327-4662-B5AD-9F95271DB9E3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AC26" i="1"/>
  <c r="AB26" i="1"/>
  <c r="AA26" i="1"/>
  <c r="AA33" i="1" s="1"/>
  <c r="W26" i="1"/>
  <c r="W33" i="1" s="1"/>
  <c r="V26" i="1"/>
  <c r="V33" i="1" s="1"/>
  <c r="U26" i="1"/>
  <c r="U33" i="1" s="1"/>
  <c r="F26" i="1"/>
  <c r="F33" i="1" s="1"/>
  <c r="E26" i="1"/>
  <c r="AD25" i="1"/>
  <c r="AC25" i="1"/>
  <c r="AB25" i="1"/>
  <c r="AA25" i="1"/>
  <c r="W25" i="1"/>
  <c r="V25" i="1"/>
  <c r="U25" i="1"/>
  <c r="T25" i="1"/>
  <c r="T26" i="1" s="1"/>
  <c r="T33" i="1" s="1"/>
  <c r="S25" i="1"/>
  <c r="S26" i="1" s="1"/>
  <c r="S33" i="1" s="1"/>
  <c r="P25" i="1"/>
  <c r="P26" i="1" s="1"/>
  <c r="P33" i="1" s="1"/>
  <c r="O25" i="1"/>
  <c r="N25" i="1"/>
  <c r="M25" i="1"/>
  <c r="L25" i="1"/>
  <c r="I25" i="1"/>
  <c r="H25" i="1"/>
  <c r="H26" i="1" s="1"/>
  <c r="H33" i="1" s="1"/>
  <c r="G25" i="1"/>
  <c r="G26" i="1" s="1"/>
  <c r="G33" i="1" s="1"/>
  <c r="F25" i="1"/>
  <c r="E25" i="1"/>
  <c r="AG24" i="1"/>
  <c r="AG23" i="1"/>
  <c r="AB33" i="1" l="1"/>
  <c r="AC33" i="1"/>
  <c r="L26" i="1"/>
  <c r="L33" i="1" s="1"/>
  <c r="AG25" i="1"/>
  <c r="P16" i="1" s="1"/>
  <c r="X16" i="1" s="1"/>
  <c r="I26" i="1"/>
  <c r="I33" i="1" s="1"/>
  <c r="M26" i="1"/>
  <c r="AD26" i="1"/>
  <c r="AD33" i="1" s="1"/>
  <c r="E33" i="1"/>
  <c r="N26" i="1"/>
  <c r="N33" i="1" s="1"/>
  <c r="O26" i="1"/>
  <c r="O33" i="1" s="1"/>
  <c r="AG26" i="1" l="1"/>
  <c r="AG33" i="1" s="1"/>
  <c r="H16" i="1" s="1"/>
  <c r="AG34" i="1"/>
  <c r="M33" i="1"/>
  <c r="AH23" i="1" l="1"/>
  <c r="AH24" i="1"/>
  <c r="AH25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<sst xmlns="http://schemas.openxmlformats.org/spreadsheetml/2006/main" count="79" uniqueCount="54">
  <si>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</si>
  <si>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</si>
  <si>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</si>
  <si>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</si>
  <si>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</si>
  <si>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</si>
  <si>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</si>
  <si>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</si>
  <si>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</si>
  <si>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Domingo Soldado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</si>
  <si>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</si>
  <si>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</si>
  <si>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</si>
  <si>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</si>
  <si>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</si>
  <si>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</si>
  <si>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</si>
  <si>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</si>
  <si>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</si>
  <si>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</si>
  <si>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</si>
  <si>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</si>
  <si>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</si>
  <si>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</si>
  <si>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</si>
  <si>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</si>
  <si>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</si>
  <si>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</si>
  <si>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</si>
  <si>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</si>
  <si>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</si>
  <si>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</si>
  <si>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</si>
  <si>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</si>
  <si>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</si>
  <si>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</si>
  <si>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</si>
  <si>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</si>
  <si>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</si>
  <si>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</si>
  <si>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PE103100 Climateurope2 - WP02 Data and processes</t>
  </si>
  <si>
    <t>Dedicacion: 50% Estimated:71.25 h</t>
  </si>
  <si>
    <t>PN037600 CLIMCAT - WP1 Creation of a comprehensive catalogue of climate data sources for climate change estimation in Catalonia and a software suite to keep the catalogue regularly up-to-date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</si>
  <si>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</si>
  <si>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</si>
  <si>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</si>
  <si>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</si>
  <si>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</si>
  <si>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</si>
  <si>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</si>
  <si>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</si>
  <si>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</si>
  <si>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2024-07-01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</si>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</sst>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60" zoomScaleNormal="60" workbookViewId="0">
      <selection activeCell="R42" sqref="R42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AG33</f>
        <v>142.5</v>
      </c>
      <c r="I16" s="25"/>
      <c r="K16" s="24" t="s">
        <v>18</v>
      </c>
      <c r="L16" s="16"/>
      <c r="M16" s="16"/>
      <c r="N16" s="16"/>
      <c r="O16" s="16"/>
      <c r="P16" s="26">
        <f>AG25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9"/>
      <c r="AA21" s="28"/>
      <c r="AB21" s="28"/>
      <c r="AC21" s="28"/>
      <c r="AD21" s="28"/>
      <c r="AE21" s="27"/>
      <c r="AF21" s="27"/>
      <c r="AG21" s="28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9"/>
      <c r="AA22" s="28"/>
      <c r="AB22" s="28"/>
      <c r="AC22" s="28"/>
      <c r="AD22" s="28"/>
      <c r="AE22" s="27"/>
      <c r="AF22" s="27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0.5</v>
      </c>
      <c r="F23" s="3">
        <v>0.5</v>
      </c>
      <c r="G23" s="3">
        <v>0.5</v>
      </c>
      <c r="H23" s="3">
        <v>0.5</v>
      </c>
      <c r="I23" s="3">
        <v>0.5</v>
      </c>
      <c r="J23" s="6"/>
      <c r="K23" s="6"/>
      <c r="L23" s="3">
        <v>2.5</v>
      </c>
      <c r="M23" s="3">
        <v>2.5</v>
      </c>
      <c r="N23" s="3">
        <v>2.5</v>
      </c>
      <c r="O23" s="3">
        <v>2.5</v>
      </c>
      <c r="P23" s="3">
        <v>2.5</v>
      </c>
      <c r="Q23" s="6"/>
      <c r="R23" s="6"/>
      <c r="S23" s="3">
        <v>5.5</v>
      </c>
      <c r="T23" s="3">
        <v>5.5</v>
      </c>
      <c r="U23" s="3">
        <v>5.5</v>
      </c>
      <c r="V23" s="3">
        <v>5.5</v>
      </c>
      <c r="W23" s="3">
        <v>5.5</v>
      </c>
      <c r="X23" s="6"/>
      <c r="Y23" s="6"/>
      <c r="Z23" s="9"/>
      <c r="AA23" s="3">
        <v>6.5</v>
      </c>
      <c r="AB23" s="3">
        <v>7.5</v>
      </c>
      <c r="AC23" s="3">
        <v>7.5</v>
      </c>
      <c r="AD23" s="3">
        <v>7.5</v>
      </c>
      <c r="AE23" s="6"/>
      <c r="AF23" s="6"/>
      <c r="AG23" s="3">
        <f>SUM(C23:AF23)</f>
        <v>71.5</v>
      </c>
      <c r="AH23" s="13">
        <f>AG23/$AG$34</f>
        <v>0.50175438596491229</v>
      </c>
    </row>
    <row r="24" spans="1:34" ht="19.5" x14ac:dyDescent="0.3">
      <c r="A24" s="12" t="s">
        <v>42</v>
      </c>
      <c r="B24" s="12" t="s">
        <v>41</v>
      </c>
      <c r="C24" s="6"/>
      <c r="D24" s="6"/>
      <c r="E24" s="3">
        <v>7</v>
      </c>
      <c r="F24" s="3">
        <v>7</v>
      </c>
      <c r="G24" s="3">
        <v>7</v>
      </c>
      <c r="H24" s="3">
        <v>7</v>
      </c>
      <c r="I24" s="3">
        <v>7</v>
      </c>
      <c r="J24" s="6"/>
      <c r="K24" s="6"/>
      <c r="L24" s="3">
        <v>5</v>
      </c>
      <c r="M24" s="3">
        <v>5</v>
      </c>
      <c r="N24" s="3">
        <v>5</v>
      </c>
      <c r="O24" s="3">
        <v>5</v>
      </c>
      <c r="P24" s="3">
        <v>5</v>
      </c>
      <c r="Q24" s="6"/>
      <c r="R24" s="6"/>
      <c r="S24" s="3">
        <v>2</v>
      </c>
      <c r="T24" s="3">
        <v>2</v>
      </c>
      <c r="U24" s="3">
        <v>2</v>
      </c>
      <c r="V24" s="3">
        <v>2</v>
      </c>
      <c r="W24" s="3">
        <v>2</v>
      </c>
      <c r="X24" s="6"/>
      <c r="Y24" s="6"/>
      <c r="Z24" s="9"/>
      <c r="AA24" s="3">
        <v>1</v>
      </c>
      <c r="AB24" s="3"/>
      <c r="AC24" s="3"/>
      <c r="AD24" s="3"/>
      <c r="AE24" s="6"/>
      <c r="AF24" s="6"/>
      <c r="AG24" s="3">
        <f>SUM(C24:AF24)</f>
        <v>71</v>
      </c>
      <c r="AH24" s="13">
        <f>AG24/$AG$34</f>
        <v>0.49824561403508771</v>
      </c>
    </row>
    <row r="25" spans="1:34" ht="19.5" x14ac:dyDescent="0.3">
      <c r="A25" s="35" t="s">
        <v>43</v>
      </c>
      <c r="B25" s="36"/>
      <c r="C25" s="7"/>
      <c r="D25" s="7"/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7"/>
      <c r="K25" s="7"/>
      <c r="L25" s="4">
        <f>SUM(L23:L24)</f>
        <v>7.5</v>
      </c>
      <c r="M25" s="4">
        <f>SUM(M23:M24)</f>
        <v>7.5</v>
      </c>
      <c r="N25" s="4">
        <f>SUM(N23:N24)</f>
        <v>7.5</v>
      </c>
      <c r="O25" s="4">
        <f>SUM(O23:O24)</f>
        <v>7.5</v>
      </c>
      <c r="P25" s="4">
        <f>SUM(P23:P24)</f>
        <v>7.5</v>
      </c>
      <c r="Q25" s="7"/>
      <c r="R25" s="7"/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7"/>
      <c r="Y25" s="7"/>
      <c r="Z25" s="10"/>
      <c r="AA25" s="4">
        <f>SUM(AA23:AA24)</f>
        <v>7.5</v>
      </c>
      <c r="AB25" s="4">
        <f>SUM(AB23:AB24)</f>
        <v>7.5</v>
      </c>
      <c r="AC25" s="4">
        <f>SUM(AC23:AC24)</f>
        <v>7.5</v>
      </c>
      <c r="AD25" s="4">
        <f>SUM(AD23:AD24)</f>
        <v>7.5</v>
      </c>
      <c r="AE25" s="7"/>
      <c r="AF25" s="7"/>
      <c r="AG25" s="4">
        <f>SUM(AG23:AG24)</f>
        <v>142.5</v>
      </c>
      <c r="AH25" s="11">
        <f>AG25/$AG$34</f>
        <v>1</v>
      </c>
    </row>
    <row r="26" spans="1:34" ht="19.5" x14ac:dyDescent="0.3">
      <c r="A26" s="37" t="s">
        <v>44</v>
      </c>
      <c r="B26" s="37"/>
      <c r="C26" s="6"/>
      <c r="D26" s="6"/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6"/>
      <c r="K26" s="6"/>
      <c r="L26" s="3">
        <f>7.5-L25</f>
        <v>0</v>
      </c>
      <c r="M26" s="3">
        <f>7.5-M25</f>
        <v>0</v>
      </c>
      <c r="N26" s="3">
        <f>7.5-N25</f>
        <v>0</v>
      </c>
      <c r="O26" s="3">
        <f>7.5-O25</f>
        <v>0</v>
      </c>
      <c r="P26" s="3">
        <f>7.5-P25</f>
        <v>0</v>
      </c>
      <c r="Q26" s="6"/>
      <c r="R26" s="6"/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6"/>
      <c r="Y26" s="6"/>
      <c r="Z26" s="9"/>
      <c r="AA26" s="3">
        <f>7.5-AA25</f>
        <v>0</v>
      </c>
      <c r="AB26" s="3">
        <f>7.5-AB25</f>
        <v>0</v>
      </c>
      <c r="AC26" s="3">
        <f>7.5-AC25</f>
        <v>0</v>
      </c>
      <c r="AD26" s="3">
        <f>7.5-AD25</f>
        <v>0</v>
      </c>
      <c r="AE26" s="6"/>
      <c r="AF26" s="6"/>
      <c r="AG26" s="3">
        <f t="shared" ref="AG26:AG32" si="0">SUM(C26:AF26)</f>
        <v>0</v>
      </c>
    </row>
    <row r="27" spans="1:34" ht="19.5" x14ac:dyDescent="0.3">
      <c r="A27" s="37"/>
      <c r="B27" s="37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9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37"/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37" t="s">
        <v>47</v>
      </c>
      <c r="B32" s="37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2" t="s">
        <v>48</v>
      </c>
      <c r="B33" s="12"/>
      <c r="C33" s="7"/>
      <c r="D33" s="7"/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7"/>
      <c r="K33" s="7"/>
      <c r="L33" s="4">
        <f>SUM(L25:L29)</f>
        <v>7.5</v>
      </c>
      <c r="M33" s="4">
        <f>SUM(M25:M29)</f>
        <v>7.5</v>
      </c>
      <c r="N33" s="4">
        <f>SUM(N25:N29)</f>
        <v>7.5</v>
      </c>
      <c r="O33" s="4">
        <f>SUM(O25:O29)</f>
        <v>7.5</v>
      </c>
      <c r="P33" s="4">
        <f>SUM(P25:P29)</f>
        <v>7.5</v>
      </c>
      <c r="Q33" s="7"/>
      <c r="R33" s="7"/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7"/>
      <c r="Y33" s="7"/>
      <c r="Z33" s="10"/>
      <c r="AA33" s="4">
        <f>SUM(AA25:AA29)</f>
        <v>7.5</v>
      </c>
      <c r="AB33" s="4">
        <f>SUM(AB25:AB29)</f>
        <v>7.5</v>
      </c>
      <c r="AC33" s="4">
        <f>SUM(AC25:AC29)</f>
        <v>7.5</v>
      </c>
      <c r="AD33" s="4">
        <f>SUM(AD25:AD29)</f>
        <v>7.5</v>
      </c>
      <c r="AE33" s="7"/>
      <c r="AF33" s="7"/>
      <c r="AG33" s="4">
        <f>SUM(AG25:AG29)</f>
        <v>142.5</v>
      </c>
    </row>
    <row r="34" spans="1:33" ht="19.5" x14ac:dyDescent="0.3">
      <c r="A34" s="12" t="s">
        <v>49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2">
        <f>SUM(AG30:AG33)</f>
        <v>142.5</v>
      </c>
    </row>
    <row r="37" spans="1:33" x14ac:dyDescent="0.25">
      <c r="A37" s="31" t="s">
        <v>50</v>
      </c>
      <c r="B37" s="31" t="s">
        <v>51</v>
      </c>
      <c r="W37" s="39" t="s">
        <v>53</v>
      </c>
      <c r="X37" s="40"/>
      <c r="Y37" s="40"/>
      <c r="Z37" s="40"/>
      <c r="AA37" s="41"/>
      <c r="AB37" s="39" t="s">
        <v>9</v>
      </c>
      <c r="AC37" s="40"/>
      <c r="AD37" s="40"/>
      <c r="AE37" s="41"/>
    </row>
    <row r="38" spans="1:33" x14ac:dyDescent="0.25">
      <c r="A38" s="38"/>
      <c r="B38" s="38"/>
      <c r="W38" s="42"/>
      <c r="X38" s="43"/>
      <c r="Y38" s="43"/>
      <c r="Z38" s="43"/>
      <c r="AA38" s="44"/>
      <c r="AB38" s="42"/>
      <c r="AC38" s="43"/>
      <c r="AD38" s="43"/>
      <c r="AE38" s="44"/>
    </row>
    <row r="39" spans="1:33" ht="19.5" x14ac:dyDescent="0.25">
      <c r="A39" s="32"/>
      <c r="B39" s="14" t="s">
        <v>52</v>
      </c>
      <c r="W39" s="45"/>
      <c r="X39" s="46"/>
      <c r="Y39" s="46"/>
      <c r="Z39" s="46"/>
      <c r="AA39" s="47"/>
      <c r="AB39" s="48">
        <v>45474</v>
      </c>
      <c r="AC39" s="46"/>
      <c r="AD39" s="46"/>
      <c r="AE39" s="47"/>
    </row>
  </sheetData>
  <mergeCells count="69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2024-11-14T11:11:00Z</dcterms:created>
  <dcterms:modified xsi:type="dcterms:W3CDTF">2024-11-14T11:21:39Z</dcterms:modified>
  <cp:category/>
</cp:coreProperties>
</file>