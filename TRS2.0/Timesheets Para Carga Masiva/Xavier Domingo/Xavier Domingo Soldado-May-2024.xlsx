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Xavier domingo Soldado\"/>
    </mc:Choice>
  </mc:AlternateContent>
  <xr:revisionPtr revIDLastSave="0" documentId="8_{AAF813DC-3445-495C-A272-5C8037B820B5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G26" i="1"/>
  <c r="AG33" i="1" s="1"/>
  <c r="AD26" i="1"/>
  <c r="AD33" i="1" s="1"/>
  <c r="W26" i="1"/>
  <c r="W33" i="1" s="1"/>
  <c r="S26" i="1"/>
  <c r="S33" i="1" s="1"/>
  <c r="H26" i="1"/>
  <c r="H33" i="1" s="1"/>
  <c r="D26" i="1"/>
  <c r="AG25" i="1"/>
  <c r="AF25" i="1"/>
  <c r="AE25" i="1"/>
  <c r="AE26" i="1" s="1"/>
  <c r="AE33" i="1" s="1"/>
  <c r="AD25" i="1"/>
  <c r="AC25" i="1"/>
  <c r="Z25" i="1"/>
  <c r="Z26" i="1" s="1"/>
  <c r="Z33" i="1" s="1"/>
  <c r="Y25" i="1"/>
  <c r="X25" i="1"/>
  <c r="W25" i="1"/>
  <c r="S25" i="1"/>
  <c r="R25" i="1"/>
  <c r="R26" i="1" s="1"/>
  <c r="R33" i="1" s="1"/>
  <c r="Q25" i="1"/>
  <c r="Q26" i="1" s="1"/>
  <c r="Q33" i="1" s="1"/>
  <c r="P25" i="1"/>
  <c r="P26" i="1" s="1"/>
  <c r="P33" i="1" s="1"/>
  <c r="O25" i="1"/>
  <c r="O26" i="1" s="1"/>
  <c r="L25" i="1"/>
  <c r="L26" i="1" s="1"/>
  <c r="L33" i="1" s="1"/>
  <c r="K25" i="1"/>
  <c r="K26" i="1" s="1"/>
  <c r="K33" i="1" s="1"/>
  <c r="J25" i="1"/>
  <c r="J26" i="1" s="1"/>
  <c r="J33" i="1" s="1"/>
  <c r="I25" i="1"/>
  <c r="I26" i="1" s="1"/>
  <c r="H25" i="1"/>
  <c r="E25" i="1"/>
  <c r="E26" i="1" s="1"/>
  <c r="D25" i="1"/>
  <c r="D33" i="1" s="1"/>
  <c r="AH24" i="1"/>
  <c r="AH23" i="1"/>
  <c r="AH25" i="1" l="1"/>
  <c r="P16" i="1" s="1"/>
  <c r="X16" i="1" s="1"/>
  <c r="AF26" i="1"/>
  <c r="AF33" i="1" s="1"/>
  <c r="AC26" i="1"/>
  <c r="AC33" i="1" s="1"/>
  <c r="Y26" i="1"/>
  <c r="Y33" i="1" s="1"/>
  <c r="X26" i="1"/>
  <c r="X33" i="1" s="1"/>
  <c r="O33" i="1"/>
  <c r="AH26" i="1"/>
  <c r="AH33" i="1" s="1"/>
  <c r="AH34" i="1" s="1"/>
  <c r="E33" i="1"/>
  <c r="H16" i="1"/>
  <c r="I33" i="1"/>
  <c r="AI24" i="1" l="1"/>
  <c r="AI25" i="1"/>
  <c r="AI23" i="1"/>
</calcChain>
</file>

<file path=xl/sharedStrings.xml><?xml version="1.0" encoding="utf-8"?>
<sst xmlns="http://schemas.openxmlformats.org/spreadsheetml/2006/main" count="80" uniqueCount="54">
  <si>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</si>
  <si>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</si>
  <si>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</si>
  <si>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</si>
  <si>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</si>
  <si>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</si>
  <si>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</si>
  <si>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</si>
  <si>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</si>
  <si>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Domingo Soldado</t>
  </si>
  <si>
    <t>Re2 (research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</si>
  <si>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</si>
  <si>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</si>
  <si>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</si>
  <si>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</si>
  <si>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</si>
  <si>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</si>
  <si>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</si>
  <si>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</si>
  <si>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</si>
  <si>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</si>
  <si>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</si>
  <si>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</si>
  <si>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</si>
  <si>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</si>
  <si>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</si>
  <si>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</si>
  <si>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</si>
  <si>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</si>
  <si>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</si>
  <si>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</si>
  <si>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</si>
  <si>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</si>
  <si>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</si>
  <si>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</si>
  <si>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</si>
  <si>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</si>
  <si>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</si>
  <si>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</si>
  <si>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</si>
  <si>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PE103100 Climateurope2 - WP02 Data and processes</t>
  </si>
  <si>
    <t>Dedicacion: 50% Estimated:78.75 h</t>
  </si>
  <si>
    <t>PN037600 CLIMCAT - WP1 Creation of a comprehensive catalogue of climate data sources for climate change estimation in Catalonia and a software suite to keep the catalogue regularly up-to-date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</si>
  <si>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</si>
  <si>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</si>
  <si>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</si>
  <si>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</si>
  <si>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</si>
  <si>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</si>
  <si>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</si>
  <si>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</si>
  <si>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</si>
  <si>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>2024-06-03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</si>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</sst>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Q40" sqref="Q40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157.5</v>
      </c>
      <c r="I16" s="25"/>
      <c r="K16" s="24" t="s">
        <v>18</v>
      </c>
      <c r="L16" s="16"/>
      <c r="M16" s="16"/>
      <c r="N16" s="16"/>
      <c r="O16" s="16"/>
      <c r="P16" s="26">
        <f>AH25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9"/>
      <c r="G21" s="29"/>
      <c r="H21" s="28"/>
      <c r="I21" s="28"/>
      <c r="J21" s="28"/>
      <c r="K21" s="28"/>
      <c r="L21" s="28"/>
      <c r="M21" s="29"/>
      <c r="N21" s="29"/>
      <c r="O21" s="28"/>
      <c r="P21" s="28"/>
      <c r="Q21" s="28"/>
      <c r="R21" s="28"/>
      <c r="S21" s="28"/>
      <c r="T21" s="29"/>
      <c r="U21" s="29"/>
      <c r="V21" s="27"/>
      <c r="W21" s="28"/>
      <c r="X21" s="28"/>
      <c r="Y21" s="28"/>
      <c r="Z21" s="28"/>
      <c r="AA21" s="29"/>
      <c r="AB21" s="29"/>
      <c r="AC21" s="28"/>
      <c r="AD21" s="28"/>
      <c r="AE21" s="28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9"/>
      <c r="G22" s="29"/>
      <c r="H22" s="28"/>
      <c r="I22" s="28"/>
      <c r="J22" s="28"/>
      <c r="K22" s="28"/>
      <c r="L22" s="28"/>
      <c r="M22" s="29"/>
      <c r="N22" s="29"/>
      <c r="O22" s="28"/>
      <c r="P22" s="28"/>
      <c r="Q22" s="28"/>
      <c r="R22" s="28"/>
      <c r="S22" s="28"/>
      <c r="T22" s="29"/>
      <c r="U22" s="29"/>
      <c r="V22" s="27"/>
      <c r="W22" s="28"/>
      <c r="X22" s="28"/>
      <c r="Y22" s="28"/>
      <c r="Z22" s="28"/>
      <c r="AA22" s="29"/>
      <c r="AB22" s="29"/>
      <c r="AC22" s="28"/>
      <c r="AD22" s="28"/>
      <c r="AE22" s="28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2.5</v>
      </c>
      <c r="E23" s="3">
        <v>2.5</v>
      </c>
      <c r="F23" s="9"/>
      <c r="G23" s="9"/>
      <c r="H23" s="3">
        <v>2.5</v>
      </c>
      <c r="I23" s="3">
        <v>2.5</v>
      </c>
      <c r="J23" s="3">
        <v>2.5</v>
      </c>
      <c r="K23" s="3">
        <v>2.5</v>
      </c>
      <c r="L23" s="3">
        <v>2.5</v>
      </c>
      <c r="M23" s="9"/>
      <c r="N23" s="9"/>
      <c r="O23" s="3">
        <v>4.5</v>
      </c>
      <c r="P23" s="3">
        <v>4.5</v>
      </c>
      <c r="Q23" s="3">
        <v>4.5</v>
      </c>
      <c r="R23" s="3">
        <v>4.5</v>
      </c>
      <c r="S23" s="3">
        <v>4.5</v>
      </c>
      <c r="T23" s="9"/>
      <c r="U23" s="9"/>
      <c r="V23" s="6"/>
      <c r="W23" s="3">
        <v>4.5</v>
      </c>
      <c r="X23" s="3">
        <v>4.5</v>
      </c>
      <c r="Y23" s="3">
        <v>4.5</v>
      </c>
      <c r="Z23" s="3">
        <v>4.5</v>
      </c>
      <c r="AA23" s="9"/>
      <c r="AB23" s="9"/>
      <c r="AC23" s="3">
        <v>3.5</v>
      </c>
      <c r="AD23" s="3">
        <v>4.5</v>
      </c>
      <c r="AE23" s="3">
        <v>3.5</v>
      </c>
      <c r="AF23" s="3">
        <v>4</v>
      </c>
      <c r="AG23" s="3">
        <v>5.5</v>
      </c>
      <c r="AH23" s="3">
        <f>SUM(C23:AG23)</f>
        <v>79</v>
      </c>
      <c r="AI23" s="13">
        <f>AH23/$AH$34</f>
        <v>0.50158730158730158</v>
      </c>
    </row>
    <row r="24" spans="1:35" ht="19.5" x14ac:dyDescent="0.3">
      <c r="A24" s="12" t="s">
        <v>42</v>
      </c>
      <c r="B24" s="12" t="s">
        <v>41</v>
      </c>
      <c r="C24" s="6"/>
      <c r="D24" s="3">
        <v>5</v>
      </c>
      <c r="E24" s="3">
        <v>5</v>
      </c>
      <c r="F24" s="9"/>
      <c r="G24" s="9"/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9"/>
      <c r="N24" s="9"/>
      <c r="O24" s="3">
        <v>3</v>
      </c>
      <c r="P24" s="3">
        <v>3</v>
      </c>
      <c r="Q24" s="3">
        <v>3</v>
      </c>
      <c r="R24" s="3">
        <v>3</v>
      </c>
      <c r="S24" s="3">
        <v>3</v>
      </c>
      <c r="T24" s="9"/>
      <c r="U24" s="9"/>
      <c r="V24" s="6"/>
      <c r="W24" s="3">
        <v>3</v>
      </c>
      <c r="X24" s="3">
        <v>3</v>
      </c>
      <c r="Y24" s="3">
        <v>3</v>
      </c>
      <c r="Z24" s="3">
        <v>3</v>
      </c>
      <c r="AA24" s="9"/>
      <c r="AB24" s="9"/>
      <c r="AC24" s="3">
        <v>4</v>
      </c>
      <c r="AD24" s="3">
        <v>3</v>
      </c>
      <c r="AE24" s="3">
        <v>4</v>
      </c>
      <c r="AF24" s="3">
        <v>3.5</v>
      </c>
      <c r="AG24" s="3">
        <v>2</v>
      </c>
      <c r="AH24" s="3">
        <f>SUM(C24:AG24)</f>
        <v>78.5</v>
      </c>
      <c r="AI24" s="13">
        <f>AH24/$AH$34</f>
        <v>0.49841269841269842</v>
      </c>
    </row>
    <row r="25" spans="1:35" ht="19.5" x14ac:dyDescent="0.3">
      <c r="A25" s="35" t="s">
        <v>43</v>
      </c>
      <c r="B25" s="36"/>
      <c r="C25" s="7"/>
      <c r="D25" s="4">
        <f>SUM(D23:D24)</f>
        <v>7.5</v>
      </c>
      <c r="E25" s="4">
        <f>SUM(E23:E24)</f>
        <v>7.5</v>
      </c>
      <c r="F25" s="10"/>
      <c r="G25" s="10"/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10"/>
      <c r="N25" s="10"/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4">
        <f>SUM(S23:S24)</f>
        <v>7.5</v>
      </c>
      <c r="T25" s="10"/>
      <c r="U25" s="10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10"/>
      <c r="AB25" s="10"/>
      <c r="AC25" s="4">
        <f t="shared" ref="AC25:AH25" si="0">SUM(AC23:AC24)</f>
        <v>7.5</v>
      </c>
      <c r="AD25" s="4">
        <f t="shared" si="0"/>
        <v>7.5</v>
      </c>
      <c r="AE25" s="4">
        <f t="shared" si="0"/>
        <v>7.5</v>
      </c>
      <c r="AF25" s="4">
        <f t="shared" si="0"/>
        <v>7.5</v>
      </c>
      <c r="AG25" s="4">
        <f t="shared" si="0"/>
        <v>7.5</v>
      </c>
      <c r="AH25" s="4">
        <f t="shared" si="0"/>
        <v>157.5</v>
      </c>
      <c r="AI25" s="11">
        <f>AH25/$AH$34</f>
        <v>1</v>
      </c>
    </row>
    <row r="26" spans="1:35" ht="19.5" x14ac:dyDescent="0.3">
      <c r="A26" s="37" t="s">
        <v>44</v>
      </c>
      <c r="B26" s="37"/>
      <c r="C26" s="6"/>
      <c r="D26" s="3">
        <f>7.5-D25</f>
        <v>0</v>
      </c>
      <c r="E26" s="3">
        <f>7.5-E25</f>
        <v>0</v>
      </c>
      <c r="F26" s="9"/>
      <c r="G26" s="9"/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9"/>
      <c r="N26" s="9"/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3">
        <f>7.5-S25</f>
        <v>0</v>
      </c>
      <c r="T26" s="9"/>
      <c r="U26" s="9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9"/>
      <c r="AB26" s="9"/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1">SUM(C26:AG26)</f>
        <v>0</v>
      </c>
    </row>
    <row r="27" spans="1:35" ht="19.5" x14ac:dyDescent="0.3">
      <c r="A27" s="37"/>
      <c r="B27" s="37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6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3">
      <c r="A28" s="37"/>
      <c r="B28" s="37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37"/>
      <c r="B29" s="37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7" t="s">
        <v>45</v>
      </c>
      <c r="B30" s="37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7" t="s">
        <v>46</v>
      </c>
      <c r="B31" s="3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37" t="s">
        <v>47</v>
      </c>
      <c r="B32" s="37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12" t="s">
        <v>48</v>
      </c>
      <c r="B33" s="12"/>
      <c r="C33" s="7"/>
      <c r="D33" s="4">
        <f>SUM(D25:D29)</f>
        <v>7.5</v>
      </c>
      <c r="E33" s="4">
        <f>SUM(E25:E29)</f>
        <v>7.5</v>
      </c>
      <c r="F33" s="10"/>
      <c r="G33" s="10"/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10"/>
      <c r="N33" s="10"/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4">
        <f>SUM(S25:S29)</f>
        <v>7.5</v>
      </c>
      <c r="T33" s="10"/>
      <c r="U33" s="10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10"/>
      <c r="AB33" s="10"/>
      <c r="AC33" s="4">
        <f t="shared" ref="AC33:AH33" si="2">SUM(AC25:AC29)</f>
        <v>7.5</v>
      </c>
      <c r="AD33" s="4">
        <f t="shared" si="2"/>
        <v>7.5</v>
      </c>
      <c r="AE33" s="4">
        <f t="shared" si="2"/>
        <v>7.5</v>
      </c>
      <c r="AF33" s="4">
        <f t="shared" si="2"/>
        <v>7.5</v>
      </c>
      <c r="AG33" s="4">
        <f t="shared" si="2"/>
        <v>7.5</v>
      </c>
      <c r="AH33" s="4">
        <f t="shared" si="2"/>
        <v>157.5</v>
      </c>
    </row>
    <row r="34" spans="1:34" ht="19.5" x14ac:dyDescent="0.3">
      <c r="A34" s="12" t="s">
        <v>49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">
        <f>SUM(AH30:AH33)</f>
        <v>157.5</v>
      </c>
    </row>
    <row r="37" spans="1:34" x14ac:dyDescent="0.25">
      <c r="A37" s="31" t="s">
        <v>50</v>
      </c>
      <c r="B37" s="31" t="s">
        <v>51</v>
      </c>
      <c r="W37" s="39" t="s">
        <v>53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4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4" ht="19.5" x14ac:dyDescent="0.25">
      <c r="A39" s="32"/>
      <c r="B39" s="14" t="s">
        <v>52</v>
      </c>
      <c r="W39" s="45"/>
      <c r="X39" s="46"/>
      <c r="Y39" s="46"/>
      <c r="Z39" s="46"/>
      <c r="AA39" s="47"/>
      <c r="AB39" s="48">
        <v>45446</v>
      </c>
      <c r="AC39" s="46"/>
      <c r="AD39" s="46"/>
      <c r="AE39" s="47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2024-11-14T11:10:59Z</dcterms:created>
  <dcterms:modified xsi:type="dcterms:W3CDTF">2024-11-14T11:19:22Z</dcterms:modified>
  <cp:category/>
</cp:coreProperties>
</file>