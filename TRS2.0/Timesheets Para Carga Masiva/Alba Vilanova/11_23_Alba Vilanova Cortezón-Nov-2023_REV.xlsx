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3- Alba Vilanova\"/>
    </mc:Choice>
  </mc:AlternateContent>
  <xr:revisionPtr revIDLastSave="0" documentId="13_ncr:1_{544C9752-BB05-42B3-A49B-ABF9F57A959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V27" i="1"/>
  <c r="V34" i="1" s="1"/>
  <c r="AF26" i="1"/>
  <c r="AF27" i="1" s="1"/>
  <c r="AF34" i="1" s="1"/>
  <c r="AE26" i="1"/>
  <c r="AD26" i="1"/>
  <c r="AC26" i="1"/>
  <c r="Z26" i="1"/>
  <c r="Y26" i="1"/>
  <c r="Y27" i="1" s="1"/>
  <c r="X26" i="1"/>
  <c r="X27" i="1" s="1"/>
  <c r="W26" i="1"/>
  <c r="W27" i="1" s="1"/>
  <c r="V26" i="1"/>
  <c r="P26" i="1"/>
  <c r="P27" i="1" s="1"/>
  <c r="P34" i="1" s="1"/>
  <c r="O26" i="1"/>
  <c r="O27" i="1" s="1"/>
  <c r="O34" i="1" s="1"/>
  <c r="L26" i="1"/>
  <c r="L27" i="1" s="1"/>
  <c r="L34" i="1" s="1"/>
  <c r="K26" i="1"/>
  <c r="K27" i="1" s="1"/>
  <c r="K34" i="1" s="1"/>
  <c r="J26" i="1"/>
  <c r="I26" i="1"/>
  <c r="H26" i="1"/>
  <c r="E26" i="1"/>
  <c r="D26" i="1"/>
  <c r="D27" i="1" s="1"/>
  <c r="AG25" i="1"/>
  <c r="AG24" i="1"/>
  <c r="AG23" i="1"/>
  <c r="Y34" i="1" l="1"/>
  <c r="X34" i="1"/>
  <c r="W34" i="1"/>
  <c r="AG26" i="1"/>
  <c r="D34" i="1"/>
  <c r="E27" i="1"/>
  <c r="E34" i="1" s="1"/>
  <c r="Z27" i="1"/>
  <c r="Z34" i="1" s="1"/>
  <c r="H27" i="1"/>
  <c r="H34" i="1" s="1"/>
  <c r="AC27" i="1"/>
  <c r="AC34" i="1" s="1"/>
  <c r="I27" i="1"/>
  <c r="I34" i="1" s="1"/>
  <c r="AD27" i="1"/>
  <c r="AD34" i="1" s="1"/>
  <c r="J27" i="1"/>
  <c r="J34" i="1" s="1"/>
  <c r="AE27" i="1"/>
  <c r="AE34" i="1" s="1"/>
  <c r="P16" i="1" l="1"/>
  <c r="X16" i="1" s="1"/>
  <c r="AG27" i="1"/>
  <c r="AG34" i="1" s="1"/>
  <c r="AG35" i="1" l="1"/>
  <c r="H16" i="1"/>
  <c r="AH25" i="1" l="1"/>
  <c r="AH24" i="1"/>
  <c r="AH23" i="1"/>
  <c r="AH26" i="1"/>
</calcChain>
</file>

<file path=xl/sharedStrings.xml><?xml version="1.0" encoding="utf-8"?>
<sst xmlns="http://schemas.openxmlformats.org/spreadsheetml/2006/main" count="82" uniqueCount="58">
  <si>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</si>
  <si>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</si>
  <si>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</si>
  <si>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</si>
  <si>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</si>
  <si>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</si>
  <si>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</si>
  <si>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</si>
  <si>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</si>
  <si>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</si>
  <si>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</si>
  <si>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</si>
  <si>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</si>
  <si>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</si>
  <si>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</si>
  <si>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</si>
  <si>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</si>
  <si>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</si>
  <si>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</si>
  <si>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</si>
  <si>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</si>
  <si>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</si>
  <si>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</si>
  <si>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</si>
  <si>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</si>
  <si>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</si>
  <si>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</si>
  <si>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</si>
  <si>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</si>
  <si>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</si>
  <si>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</si>
  <si>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</si>
  <si>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</si>
  <si>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</si>
  <si>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</si>
  <si>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</si>
  <si>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</si>
  <si>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</si>
  <si>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</si>
  <si>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</si>
  <si>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</si>
  <si>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20% Estimated:28.42 h</t>
  </si>
  <si>
    <t>PE098500 RI-URBANS - WP03 Improving modelling and emission inventories for policy assessment using advanced observation-based methodologies</t>
  </si>
  <si>
    <t>Dedicacion: 30% Estimated:42.63 h</t>
  </si>
  <si>
    <t>PE122400 MARCHES - WP05 Innovative methodologies for exposure assessment and unit prices</t>
  </si>
  <si>
    <t>Dedicacion: 45% Estimated:63.95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</si>
  <si>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</si>
  <si>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</si>
  <si>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</si>
  <si>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</si>
  <si>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</si>
  <si>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</si>
  <si>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</si>
  <si>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</si>
  <si>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</si>
  <si>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2023-12-05</t>
  </si>
  <si>
    <t xml:space="preserve">Date and signature of staff member:	</t>
  </si>
  <si>
    <t>2023-12-04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</si>
</sst>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topLeftCell="B1" zoomScale="70" zoomScaleNormal="70" workbookViewId="0">
      <selection activeCell="AE24" sqref="AE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3" t="s">
        <v>1</v>
      </c>
      <c r="D2" s="23"/>
      <c r="E2" s="23"/>
    </row>
    <row r="4" spans="1:33" ht="19.5" x14ac:dyDescent="0.3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3" ht="26.25" x14ac:dyDescent="0.4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8" spans="1:33" ht="19.5" x14ac:dyDescent="0.3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9.5" x14ac:dyDescent="0.3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19.5" x14ac:dyDescent="0.3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9.5" x14ac:dyDescent="0.3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9.5" x14ac:dyDescent="0.3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6" spans="1:33" ht="19.5" x14ac:dyDescent="0.3">
      <c r="F16" s="30" t="s">
        <v>17</v>
      </c>
      <c r="G16" s="22"/>
      <c r="H16" s="31">
        <f>AG34</f>
        <v>135</v>
      </c>
      <c r="I16" s="31"/>
      <c r="K16" s="30" t="s">
        <v>18</v>
      </c>
      <c r="L16" s="22"/>
      <c r="M16" s="22"/>
      <c r="N16" s="22"/>
      <c r="O16" s="22"/>
      <c r="P16" s="32">
        <f>AG26</f>
        <v>134.5</v>
      </c>
      <c r="Q16" s="32"/>
      <c r="S16" s="30" t="s">
        <v>19</v>
      </c>
      <c r="T16" s="22"/>
      <c r="U16" s="22"/>
      <c r="V16" s="22"/>
      <c r="W16" s="22"/>
      <c r="X16" s="31">
        <f>(P16/7.5) *1</f>
        <v>17.933333333333334</v>
      </c>
      <c r="Y16" s="31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11" t="s">
        <v>20</v>
      </c>
      <c r="R19" s="11" t="s">
        <v>22</v>
      </c>
      <c r="S19" s="14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8" t="s">
        <v>36</v>
      </c>
      <c r="AH19" s="39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11">
        <v>15</v>
      </c>
      <c r="R20" s="11">
        <v>16</v>
      </c>
      <c r="S20" s="14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8"/>
      <c r="AH20" s="40"/>
    </row>
    <row r="21" spans="1:34" ht="19.5" x14ac:dyDescent="0.3">
      <c r="A21" s="23" t="s">
        <v>38</v>
      </c>
      <c r="B21" s="23"/>
      <c r="C21" s="33"/>
      <c r="D21" s="34"/>
      <c r="E21" s="34"/>
      <c r="F21" s="35"/>
      <c r="G21" s="35"/>
      <c r="H21" s="34"/>
      <c r="I21" s="34"/>
      <c r="J21" s="34"/>
      <c r="K21" s="34"/>
      <c r="L21" s="34"/>
      <c r="M21" s="35"/>
      <c r="N21" s="35"/>
      <c r="O21" s="34"/>
      <c r="P21" s="34"/>
      <c r="Q21" s="36"/>
      <c r="R21" s="36"/>
      <c r="S21" s="37"/>
      <c r="T21" s="35"/>
      <c r="U21" s="35"/>
      <c r="V21" s="34"/>
      <c r="W21" s="34"/>
      <c r="X21" s="34"/>
      <c r="Y21" s="34"/>
      <c r="Z21" s="34"/>
      <c r="AA21" s="35"/>
      <c r="AB21" s="35"/>
      <c r="AC21" s="34"/>
      <c r="AD21" s="34"/>
      <c r="AE21" s="34"/>
      <c r="AF21" s="34"/>
      <c r="AG21" s="34"/>
      <c r="AH21" s="41"/>
    </row>
    <row r="22" spans="1:34" ht="19.5" x14ac:dyDescent="0.3">
      <c r="A22" s="42" t="s">
        <v>39</v>
      </c>
      <c r="B22" s="42"/>
      <c r="C22" s="33"/>
      <c r="D22" s="34"/>
      <c r="E22" s="34"/>
      <c r="F22" s="35"/>
      <c r="G22" s="35"/>
      <c r="H22" s="34"/>
      <c r="I22" s="34"/>
      <c r="J22" s="34"/>
      <c r="K22" s="34"/>
      <c r="L22" s="34"/>
      <c r="M22" s="35"/>
      <c r="N22" s="35"/>
      <c r="O22" s="34"/>
      <c r="P22" s="34"/>
      <c r="Q22" s="36"/>
      <c r="R22" s="36"/>
      <c r="S22" s="37"/>
      <c r="T22" s="35"/>
      <c r="U22" s="35"/>
      <c r="V22" s="34"/>
      <c r="W22" s="34"/>
      <c r="X22" s="34"/>
      <c r="Y22" s="34"/>
      <c r="Z22" s="34"/>
      <c r="AA22" s="35"/>
      <c r="AB22" s="35"/>
      <c r="AC22" s="34"/>
      <c r="AD22" s="34"/>
      <c r="AE22" s="34"/>
      <c r="AF22" s="34"/>
      <c r="AG22" s="34"/>
      <c r="AH22" s="41"/>
    </row>
    <row r="23" spans="1:34" ht="19.5" x14ac:dyDescent="0.3">
      <c r="A23" s="18" t="s">
        <v>40</v>
      </c>
      <c r="B23" s="18" t="s">
        <v>41</v>
      </c>
      <c r="C23" s="6"/>
      <c r="D23" s="3">
        <v>2</v>
      </c>
      <c r="E23" s="3">
        <v>1</v>
      </c>
      <c r="F23" s="9"/>
      <c r="G23" s="9"/>
      <c r="H23" s="3">
        <v>2</v>
      </c>
      <c r="I23" s="3">
        <v>2</v>
      </c>
      <c r="J23" s="3">
        <v>2</v>
      </c>
      <c r="K23" s="3">
        <v>1</v>
      </c>
      <c r="L23" s="3">
        <v>1</v>
      </c>
      <c r="M23" s="9"/>
      <c r="N23" s="9"/>
      <c r="O23" s="3">
        <v>2</v>
      </c>
      <c r="P23" s="3">
        <v>1</v>
      </c>
      <c r="Q23" s="12"/>
      <c r="R23" s="12"/>
      <c r="S23" s="15"/>
      <c r="T23" s="9"/>
      <c r="U23" s="9"/>
      <c r="V23" s="3">
        <v>2</v>
      </c>
      <c r="W23" s="3">
        <v>2</v>
      </c>
      <c r="X23" s="3">
        <v>1</v>
      </c>
      <c r="Y23" s="3">
        <v>1</v>
      </c>
      <c r="Z23" s="3">
        <v>2</v>
      </c>
      <c r="AA23" s="9"/>
      <c r="AB23" s="9"/>
      <c r="AC23" s="3">
        <v>1</v>
      </c>
      <c r="AD23" s="3">
        <v>1</v>
      </c>
      <c r="AE23" s="3">
        <v>2</v>
      </c>
      <c r="AF23" s="3">
        <v>2</v>
      </c>
      <c r="AG23" s="3">
        <f>SUM(C23:AF23)</f>
        <v>28</v>
      </c>
      <c r="AH23" s="19">
        <f>AG23/$AG$35</f>
        <v>0.19649122807017544</v>
      </c>
    </row>
    <row r="24" spans="1:34" ht="19.5" x14ac:dyDescent="0.3">
      <c r="A24" s="18" t="s">
        <v>42</v>
      </c>
      <c r="B24" s="18" t="s">
        <v>43</v>
      </c>
      <c r="C24" s="6"/>
      <c r="D24" s="3">
        <v>2.5</v>
      </c>
      <c r="E24" s="3">
        <v>3</v>
      </c>
      <c r="F24" s="9"/>
      <c r="G24" s="9"/>
      <c r="H24" s="3">
        <v>1.5</v>
      </c>
      <c r="I24" s="3">
        <v>1.5</v>
      </c>
      <c r="J24" s="3">
        <v>2</v>
      </c>
      <c r="K24" s="3">
        <v>3.5</v>
      </c>
      <c r="L24" s="3">
        <v>3</v>
      </c>
      <c r="M24" s="9"/>
      <c r="N24" s="9"/>
      <c r="O24" s="3">
        <v>2</v>
      </c>
      <c r="P24" s="3">
        <v>3</v>
      </c>
      <c r="Q24" s="12"/>
      <c r="R24" s="12"/>
      <c r="S24" s="15"/>
      <c r="T24" s="9"/>
      <c r="U24" s="9"/>
      <c r="V24" s="3">
        <v>2</v>
      </c>
      <c r="W24" s="3">
        <v>1.5</v>
      </c>
      <c r="X24" s="3">
        <v>2</v>
      </c>
      <c r="Y24" s="3">
        <v>3.5</v>
      </c>
      <c r="Z24" s="3">
        <v>2.5</v>
      </c>
      <c r="AA24" s="9"/>
      <c r="AB24" s="9"/>
      <c r="AC24" s="3">
        <v>2.5</v>
      </c>
      <c r="AD24" s="3">
        <v>3</v>
      </c>
      <c r="AE24" s="3">
        <v>2</v>
      </c>
      <c r="AF24" s="3">
        <v>2</v>
      </c>
      <c r="AG24" s="3">
        <f>SUM(C24:AF24)</f>
        <v>43</v>
      </c>
      <c r="AH24" s="19">
        <f>AG24/$AG$35</f>
        <v>0.30175438596491228</v>
      </c>
    </row>
    <row r="25" spans="1:34" ht="19.5" x14ac:dyDescent="0.3">
      <c r="A25" s="18" t="s">
        <v>44</v>
      </c>
      <c r="B25" s="18" t="s">
        <v>45</v>
      </c>
      <c r="C25" s="6"/>
      <c r="D25" s="3">
        <v>3</v>
      </c>
      <c r="E25" s="3">
        <v>3.5</v>
      </c>
      <c r="F25" s="9"/>
      <c r="G25" s="9"/>
      <c r="H25" s="3">
        <v>4</v>
      </c>
      <c r="I25" s="3">
        <v>4</v>
      </c>
      <c r="J25" s="3">
        <v>3.5</v>
      </c>
      <c r="K25" s="3">
        <v>3</v>
      </c>
      <c r="L25" s="3">
        <v>3.5</v>
      </c>
      <c r="M25" s="9"/>
      <c r="N25" s="9"/>
      <c r="O25" s="3">
        <v>3.5</v>
      </c>
      <c r="P25" s="3">
        <v>3.5</v>
      </c>
      <c r="Q25" s="12"/>
      <c r="R25" s="12"/>
      <c r="S25" s="15"/>
      <c r="T25" s="9"/>
      <c r="U25" s="9"/>
      <c r="V25" s="3">
        <v>3.5</v>
      </c>
      <c r="W25" s="3">
        <v>4</v>
      </c>
      <c r="X25" s="3">
        <v>4.5</v>
      </c>
      <c r="Y25" s="3">
        <v>3</v>
      </c>
      <c r="Z25" s="3">
        <v>3</v>
      </c>
      <c r="AA25" s="9"/>
      <c r="AB25" s="9"/>
      <c r="AC25" s="3">
        <v>4</v>
      </c>
      <c r="AD25" s="3">
        <v>3</v>
      </c>
      <c r="AE25" s="3">
        <v>3.5</v>
      </c>
      <c r="AF25" s="3">
        <v>3.5</v>
      </c>
      <c r="AG25" s="3">
        <f>SUM(C25:AF25)</f>
        <v>63.5</v>
      </c>
      <c r="AH25" s="19">
        <f>AG25/$AG$35</f>
        <v>0.4456140350877193</v>
      </c>
    </row>
    <row r="26" spans="1:34" ht="19.5" x14ac:dyDescent="0.3">
      <c r="A26" s="43" t="s">
        <v>46</v>
      </c>
      <c r="B26" s="44"/>
      <c r="C26" s="7"/>
      <c r="D26" s="4">
        <f>SUM(D23:D25)</f>
        <v>7.5</v>
      </c>
      <c r="E26" s="4">
        <f>SUM(E23:E25)</f>
        <v>7.5</v>
      </c>
      <c r="F26" s="10"/>
      <c r="G26" s="10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10"/>
      <c r="N26" s="10"/>
      <c r="O26" s="4">
        <f>SUM(O23:O25)</f>
        <v>7.5</v>
      </c>
      <c r="P26" s="4">
        <f>SUM(P23:P25)</f>
        <v>7.5</v>
      </c>
      <c r="Q26" s="13"/>
      <c r="R26" s="13"/>
      <c r="S26" s="16"/>
      <c r="T26" s="10"/>
      <c r="U26" s="10"/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10"/>
      <c r="AB26" s="10"/>
      <c r="AC26" s="4">
        <f>SUM(AC23:AC25)</f>
        <v>7.5</v>
      </c>
      <c r="AD26" s="4">
        <f>SUM(AD23:AD25)</f>
        <v>7</v>
      </c>
      <c r="AE26" s="4">
        <f>SUM(AE23:AE25)</f>
        <v>7.5</v>
      </c>
      <c r="AF26" s="4">
        <f>SUM(AF23:AF25)</f>
        <v>7.5</v>
      </c>
      <c r="AG26" s="4">
        <f>SUM(AG23:AG25)</f>
        <v>134.5</v>
      </c>
      <c r="AH26" s="17">
        <f>AG26/$AG$35</f>
        <v>0.94385964912280707</v>
      </c>
    </row>
    <row r="27" spans="1:34" ht="19.5" x14ac:dyDescent="0.3">
      <c r="A27" s="45" t="s">
        <v>47</v>
      </c>
      <c r="B27" s="45"/>
      <c r="C27" s="6"/>
      <c r="D27" s="3">
        <f>7.5-D26</f>
        <v>0</v>
      </c>
      <c r="E27" s="3">
        <f>7.5-E26</f>
        <v>0</v>
      </c>
      <c r="F27" s="9"/>
      <c r="G27" s="9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9"/>
      <c r="N27" s="9"/>
      <c r="O27" s="3">
        <f>7.5-O26</f>
        <v>0</v>
      </c>
      <c r="P27" s="3">
        <f>7.5-P26</f>
        <v>0</v>
      </c>
      <c r="Q27" s="12"/>
      <c r="R27" s="12"/>
      <c r="S27" s="15"/>
      <c r="T27" s="9"/>
      <c r="U27" s="9"/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9"/>
      <c r="AB27" s="9"/>
      <c r="AC27" s="3">
        <f>7.5-AC26</f>
        <v>0</v>
      </c>
      <c r="AD27" s="3">
        <f>7.5-AD26</f>
        <v>0.5</v>
      </c>
      <c r="AE27" s="3">
        <f>7.5-AE26</f>
        <v>0</v>
      </c>
      <c r="AF27" s="3">
        <f>7.5-AF26</f>
        <v>0</v>
      </c>
      <c r="AG27" s="3">
        <f t="shared" ref="AG27:AG33" si="0">SUM(C27:AF27)</f>
        <v>0.5</v>
      </c>
    </row>
    <row r="28" spans="1:34" ht="19.5" x14ac:dyDescent="0.3">
      <c r="A28" s="45"/>
      <c r="B28" s="45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12"/>
      <c r="R28" s="12"/>
      <c r="S28" s="15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3">
      <c r="A29" s="45"/>
      <c r="B29" s="45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12"/>
      <c r="R29" s="12"/>
      <c r="S29" s="15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3">
      <c r="A30" s="45"/>
      <c r="B30" s="45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12"/>
      <c r="R30" s="12"/>
      <c r="S30" s="15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3">
      <c r="A31" s="45" t="s">
        <v>48</v>
      </c>
      <c r="B31" s="45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12"/>
      <c r="R31" s="12"/>
      <c r="S31" s="15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3">
      <c r="A32" s="45" t="s">
        <v>49</v>
      </c>
      <c r="B32" s="45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12"/>
      <c r="R32" s="12"/>
      <c r="S32" s="15">
        <v>7.5</v>
      </c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0"/>
        <v>7.5</v>
      </c>
    </row>
    <row r="33" spans="1:33" ht="19.5" x14ac:dyDescent="0.3">
      <c r="A33" s="45" t="s">
        <v>50</v>
      </c>
      <c r="B33" s="45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12"/>
      <c r="R33" s="12"/>
      <c r="S33" s="15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0"/>
        <v>0</v>
      </c>
    </row>
    <row r="34" spans="1:33" ht="19.5" x14ac:dyDescent="0.3">
      <c r="A34" s="18" t="s">
        <v>51</v>
      </c>
      <c r="B34" s="18"/>
      <c r="C34" s="7"/>
      <c r="D34" s="4">
        <f>SUM(D26:D30)</f>
        <v>7.5</v>
      </c>
      <c r="E34" s="4">
        <f>SUM(E26:E30)</f>
        <v>7.5</v>
      </c>
      <c r="F34" s="10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10"/>
      <c r="N34" s="10"/>
      <c r="O34" s="4">
        <f>SUM(O26:O30)</f>
        <v>7.5</v>
      </c>
      <c r="P34" s="4">
        <f>SUM(P26:P30)</f>
        <v>7.5</v>
      </c>
      <c r="Q34" s="13"/>
      <c r="R34" s="13"/>
      <c r="S34" s="16"/>
      <c r="T34" s="10"/>
      <c r="U34" s="10"/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10"/>
      <c r="AB34" s="10"/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7.5</v>
      </c>
      <c r="AG34" s="4">
        <f>SUM(AG26:AG30)</f>
        <v>135</v>
      </c>
    </row>
    <row r="35" spans="1:33" ht="19.5" x14ac:dyDescent="0.3">
      <c r="A35" s="18" t="s">
        <v>52</v>
      </c>
      <c r="B35" s="1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2">
        <f>SUM(AG31:AG34)</f>
        <v>142.5</v>
      </c>
    </row>
    <row r="38" spans="1:33" x14ac:dyDescent="0.25">
      <c r="A38" s="39" t="s">
        <v>53</v>
      </c>
      <c r="B38" s="39" t="s">
        <v>54</v>
      </c>
      <c r="W38" s="47" t="s">
        <v>56</v>
      </c>
      <c r="X38" s="48"/>
      <c r="Y38" s="48"/>
      <c r="Z38" s="48"/>
      <c r="AA38" s="49"/>
      <c r="AB38" s="47" t="s">
        <v>9</v>
      </c>
      <c r="AC38" s="48"/>
      <c r="AD38" s="48"/>
      <c r="AE38" s="49"/>
    </row>
    <row r="39" spans="1:33" x14ac:dyDescent="0.25">
      <c r="A39" s="46"/>
      <c r="B39" s="46"/>
      <c r="W39" s="50"/>
      <c r="X39" s="51"/>
      <c r="Y39" s="51"/>
      <c r="Z39" s="51"/>
      <c r="AA39" s="52"/>
      <c r="AB39" s="50"/>
      <c r="AC39" s="51"/>
      <c r="AD39" s="51"/>
      <c r="AE39" s="52"/>
    </row>
    <row r="40" spans="1:33" ht="19.5" x14ac:dyDescent="0.25">
      <c r="A40" s="40"/>
      <c r="B40" s="20" t="s">
        <v>55</v>
      </c>
      <c r="W40" s="53"/>
      <c r="X40" s="54"/>
      <c r="Y40" s="54"/>
      <c r="Z40" s="54"/>
      <c r="AA40" s="55"/>
      <c r="AB40" s="56" t="s">
        <v>57</v>
      </c>
      <c r="AC40" s="54"/>
      <c r="AD40" s="54"/>
      <c r="AE40" s="55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dcterms:created xsi:type="dcterms:W3CDTF">2024-06-05T13:42:49Z</dcterms:created>
  <dcterms:modified xsi:type="dcterms:W3CDTF">2024-10-10T11:24:38Z</dcterms:modified>
  <cp:category/>
</cp:coreProperties>
</file>