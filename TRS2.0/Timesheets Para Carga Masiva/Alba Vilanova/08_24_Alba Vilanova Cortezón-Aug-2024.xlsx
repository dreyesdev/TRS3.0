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3EBF13D0-8908-422F-9ACC-6EBEF3C00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D27" i="1"/>
  <c r="AC27" i="1"/>
  <c r="AB27" i="1"/>
  <c r="AB28" i="1" s="1"/>
  <c r="Y27" i="1"/>
  <c r="Y28" i="1" s="1"/>
  <c r="X27" i="1"/>
  <c r="X28" i="1" s="1"/>
  <c r="X35" i="1" s="1"/>
  <c r="W27" i="1"/>
  <c r="V27" i="1"/>
  <c r="U27" i="1"/>
  <c r="P27" i="1"/>
  <c r="P28" i="1" s="1"/>
  <c r="P35" i="1" s="1"/>
  <c r="O27" i="1"/>
  <c r="O28" i="1" s="1"/>
  <c r="N27" i="1"/>
  <c r="K27" i="1"/>
  <c r="J27" i="1"/>
  <c r="I27" i="1"/>
  <c r="H27" i="1"/>
  <c r="G27" i="1"/>
  <c r="G28" i="1" s="1"/>
  <c r="G35" i="1" s="1"/>
  <c r="D27" i="1"/>
  <c r="D28" i="1" s="1"/>
  <c r="D35" i="1" s="1"/>
  <c r="C27" i="1"/>
  <c r="AH26" i="1"/>
  <c r="AH25" i="1"/>
  <c r="AH24" i="1"/>
  <c r="AH23" i="1"/>
  <c r="AC28" i="1" l="1"/>
  <c r="AC35" i="1" s="1"/>
  <c r="AD28" i="1"/>
  <c r="AD35" i="1" s="1"/>
  <c r="AB35" i="1"/>
  <c r="Y35" i="1"/>
  <c r="J28" i="1"/>
  <c r="J35" i="1" s="1"/>
  <c r="I28" i="1"/>
  <c r="I35" i="1" s="1"/>
  <c r="H28" i="1"/>
  <c r="H35" i="1" s="1"/>
  <c r="O35" i="1"/>
  <c r="AH27" i="1"/>
  <c r="U28" i="1"/>
  <c r="U35" i="1" s="1"/>
  <c r="V28" i="1"/>
  <c r="V35" i="1" s="1"/>
  <c r="C28" i="1"/>
  <c r="W28" i="1"/>
  <c r="W35" i="1" s="1"/>
  <c r="K28" i="1"/>
  <c r="K35" i="1" s="1"/>
  <c r="N28" i="1"/>
  <c r="N35" i="1" s="1"/>
  <c r="P16" i="1" l="1"/>
  <c r="X16" i="1" s="1"/>
  <c r="AH28" i="1"/>
  <c r="AH35" i="1" s="1"/>
  <c r="C35" i="1"/>
  <c r="H16" i="1" l="1"/>
  <c r="AH36" i="1"/>
  <c r="AI23" i="1" l="1"/>
  <c r="AI25" i="1"/>
  <c r="AI26" i="1"/>
  <c r="AI24" i="1"/>
  <c r="AI27" i="1"/>
</calcChain>
</file>

<file path=xl/sharedStrings.xml><?xml version="1.0" encoding="utf-8"?>
<sst xmlns="http://schemas.openxmlformats.org/spreadsheetml/2006/main" count="85" uniqueCount="60">
  <si>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</si>
  <si>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</si>
  <si>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</si>
  <si>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</si>
  <si>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</si>
  <si>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</si>
  <si>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</si>
  <si>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</si>
  <si>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</si>
  <si>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</si>
  <si>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</si>
  <si>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</si>
  <si>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</si>
  <si>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</si>
  <si>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</si>
  <si>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</si>
  <si>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</si>
  <si>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</si>
  <si>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</si>
  <si>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</si>
  <si>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</si>
  <si>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</si>
  <si>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</si>
  <si>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</si>
  <si>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</si>
  <si>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</si>
  <si>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</si>
  <si>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</si>
  <si>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</si>
  <si>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</si>
  <si>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</si>
  <si>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</si>
  <si>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</si>
  <si>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</si>
  <si>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</si>
  <si>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</si>
  <si>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</si>
  <si>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</si>
  <si>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</si>
  <si>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</si>
  <si>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</si>
  <si>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59% Estimated:79.65 h</t>
  </si>
  <si>
    <t>PE122400 MARCHES - WP05 Innovative methodologies for exposure assessment and unit prices</t>
  </si>
  <si>
    <t>Dedicacion: 1% Estimated:1.35 h</t>
  </si>
  <si>
    <t>PN037600 CLIMCAT - WP1 Creation of a comprehensive catalogue of climate data sources for climate change estimation in Catalonia and a software suite to keep the catalogue regularly up-to-date</t>
  </si>
  <si>
    <t>Dedicacion: 30% Estimated:40.5 h</t>
  </si>
  <si>
    <t>CN052000 GHOST-WMO - WP- GHOST GHOST-WMO</t>
  </si>
  <si>
    <t>Dedicacion: 10% Estimated:13.5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</si>
  <si>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</si>
  <si>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</si>
  <si>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</si>
  <si>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</si>
  <si>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</si>
  <si>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</si>
  <si>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</si>
  <si>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</si>
  <si>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</si>
  <si>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2024-09-10</t>
  </si>
  <si>
    <t xml:space="preserve">Date and signature of staff member:	</t>
  </si>
  <si>
    <t>2024-09-09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</si>
</sst>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1"/>
  <sheetViews>
    <sheetView tabSelected="1" zoomScale="70" zoomScaleNormal="70" workbookViewId="0">
      <selection activeCell="A26" sqref="A26"/>
    </sheetView>
  </sheetViews>
  <sheetFormatPr baseColWidth="10" defaultColWidth="9.140625" defaultRowHeight="15" x14ac:dyDescent="0.25"/>
  <cols>
    <col min="1" max="1" width="40" customWidth="1"/>
    <col min="2" max="2" width="49.140625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1">
        <f>AH35</f>
        <v>135</v>
      </c>
      <c r="I16" s="41"/>
      <c r="K16" s="43" t="s">
        <v>18</v>
      </c>
      <c r="L16" s="44"/>
      <c r="M16" s="44"/>
      <c r="N16" s="44"/>
      <c r="O16" s="44"/>
      <c r="P16" s="45">
        <f>AH27</f>
        <v>135</v>
      </c>
      <c r="Q16" s="45"/>
      <c r="S16" s="43" t="s">
        <v>19</v>
      </c>
      <c r="T16" s="44"/>
      <c r="U16" s="44"/>
      <c r="V16" s="44"/>
      <c r="W16" s="44"/>
      <c r="X16" s="41">
        <f>(P16/7.5) *1</f>
        <v>18</v>
      </c>
      <c r="Y16" s="41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11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11" t="s">
        <v>22</v>
      </c>
      <c r="AG19" s="5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8">
        <v>15</v>
      </c>
      <c r="R20" s="11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11">
        <v>29</v>
      </c>
      <c r="AF20" s="11">
        <v>30</v>
      </c>
      <c r="AG20" s="5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8"/>
      <c r="E21" s="37"/>
      <c r="F21" s="37"/>
      <c r="G21" s="38"/>
      <c r="H21" s="38"/>
      <c r="I21" s="38"/>
      <c r="J21" s="38"/>
      <c r="K21" s="38"/>
      <c r="L21" s="37"/>
      <c r="M21" s="37"/>
      <c r="N21" s="38"/>
      <c r="O21" s="38"/>
      <c r="P21" s="38"/>
      <c r="Q21" s="42"/>
      <c r="R21" s="40"/>
      <c r="S21" s="37"/>
      <c r="T21" s="37"/>
      <c r="U21" s="38"/>
      <c r="V21" s="38"/>
      <c r="W21" s="38"/>
      <c r="X21" s="38"/>
      <c r="Y21" s="38"/>
      <c r="Z21" s="37"/>
      <c r="AA21" s="37"/>
      <c r="AB21" s="38"/>
      <c r="AC21" s="38"/>
      <c r="AD21" s="38"/>
      <c r="AE21" s="40"/>
      <c r="AF21" s="40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8"/>
      <c r="E22" s="37"/>
      <c r="F22" s="37"/>
      <c r="G22" s="38"/>
      <c r="H22" s="38"/>
      <c r="I22" s="38"/>
      <c r="J22" s="38"/>
      <c r="K22" s="38"/>
      <c r="L22" s="37"/>
      <c r="M22" s="37"/>
      <c r="N22" s="38"/>
      <c r="O22" s="38"/>
      <c r="P22" s="38"/>
      <c r="Q22" s="42"/>
      <c r="R22" s="40"/>
      <c r="S22" s="37"/>
      <c r="T22" s="37"/>
      <c r="U22" s="38"/>
      <c r="V22" s="38"/>
      <c r="W22" s="38"/>
      <c r="X22" s="38"/>
      <c r="Y22" s="38"/>
      <c r="Z22" s="37"/>
      <c r="AA22" s="37"/>
      <c r="AB22" s="38"/>
      <c r="AC22" s="38"/>
      <c r="AD22" s="38"/>
      <c r="AE22" s="40"/>
      <c r="AF22" s="40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3">
        <v>4</v>
      </c>
      <c r="D23" s="3">
        <v>4.5</v>
      </c>
      <c r="E23" s="6"/>
      <c r="F23" s="6"/>
      <c r="G23" s="3">
        <v>5</v>
      </c>
      <c r="H23" s="3">
        <v>4</v>
      </c>
      <c r="I23" s="3">
        <v>5</v>
      </c>
      <c r="J23" s="3">
        <v>4</v>
      </c>
      <c r="K23" s="3">
        <v>5</v>
      </c>
      <c r="L23" s="6"/>
      <c r="M23" s="6"/>
      <c r="N23" s="3">
        <v>4.5</v>
      </c>
      <c r="O23" s="3">
        <v>4</v>
      </c>
      <c r="P23" s="3">
        <v>4.5</v>
      </c>
      <c r="Q23" s="9"/>
      <c r="R23" s="12"/>
      <c r="S23" s="6"/>
      <c r="T23" s="6"/>
      <c r="U23" s="3">
        <v>4.5</v>
      </c>
      <c r="V23" s="3">
        <v>4</v>
      </c>
      <c r="W23" s="3">
        <v>4</v>
      </c>
      <c r="X23" s="3">
        <v>4.5</v>
      </c>
      <c r="Y23" s="3">
        <v>5</v>
      </c>
      <c r="Z23" s="6"/>
      <c r="AA23" s="6"/>
      <c r="AB23" s="3">
        <v>4</v>
      </c>
      <c r="AC23" s="3">
        <v>4.5</v>
      </c>
      <c r="AD23" s="3">
        <v>5</v>
      </c>
      <c r="AE23" s="12"/>
      <c r="AF23" s="12"/>
      <c r="AG23" s="6"/>
      <c r="AH23" s="3">
        <f>SUM(C23:AG23)</f>
        <v>80</v>
      </c>
      <c r="AI23" s="16">
        <f>AH23/$AH$36</f>
        <v>0.59259259259259256</v>
      </c>
    </row>
    <row r="24" spans="1:35" ht="19.5" x14ac:dyDescent="0.3">
      <c r="A24" s="15" t="s">
        <v>42</v>
      </c>
      <c r="B24" s="15" t="s">
        <v>43</v>
      </c>
      <c r="C24" s="3"/>
      <c r="D24" s="3"/>
      <c r="E24" s="6"/>
      <c r="F24" s="6"/>
      <c r="G24" s="3">
        <v>1</v>
      </c>
      <c r="H24" s="3"/>
      <c r="I24" s="3"/>
      <c r="J24" s="3"/>
      <c r="K24" s="3"/>
      <c r="L24" s="6"/>
      <c r="M24" s="6"/>
      <c r="N24" s="3"/>
      <c r="O24" s="3"/>
      <c r="P24" s="3"/>
      <c r="Q24" s="9"/>
      <c r="R24" s="12"/>
      <c r="S24" s="6"/>
      <c r="T24" s="6"/>
      <c r="U24" s="3"/>
      <c r="V24" s="3"/>
      <c r="W24" s="3"/>
      <c r="X24" s="3"/>
      <c r="Y24" s="3"/>
      <c r="Z24" s="6"/>
      <c r="AA24" s="6"/>
      <c r="AB24" s="3"/>
      <c r="AC24" s="3"/>
      <c r="AD24" s="3"/>
      <c r="AE24" s="12"/>
      <c r="AF24" s="12"/>
      <c r="AG24" s="6"/>
      <c r="AH24" s="3">
        <f>SUM(C24:AG24)</f>
        <v>1</v>
      </c>
      <c r="AI24" s="16">
        <f>AH24/$AH$36</f>
        <v>7.4074074074074077E-3</v>
      </c>
    </row>
    <row r="25" spans="1:35" ht="19.5" x14ac:dyDescent="0.3">
      <c r="A25" s="15" t="s">
        <v>44</v>
      </c>
      <c r="B25" s="15" t="s">
        <v>45</v>
      </c>
      <c r="C25" s="3">
        <v>2</v>
      </c>
      <c r="D25" s="3">
        <v>2</v>
      </c>
      <c r="E25" s="6"/>
      <c r="F25" s="6"/>
      <c r="G25" s="3">
        <v>1.5</v>
      </c>
      <c r="H25" s="3">
        <v>2</v>
      </c>
      <c r="I25" s="3">
        <v>1.5</v>
      </c>
      <c r="J25" s="3">
        <v>2.5</v>
      </c>
      <c r="K25" s="3">
        <v>1</v>
      </c>
      <c r="L25" s="6"/>
      <c r="M25" s="6"/>
      <c r="N25" s="3">
        <v>3</v>
      </c>
      <c r="O25" s="3">
        <v>2.5</v>
      </c>
      <c r="P25" s="3">
        <v>2</v>
      </c>
      <c r="Q25" s="9"/>
      <c r="R25" s="12"/>
      <c r="S25" s="6"/>
      <c r="T25" s="6"/>
      <c r="U25" s="3">
        <v>3</v>
      </c>
      <c r="V25" s="3">
        <v>2.5</v>
      </c>
      <c r="W25" s="3">
        <v>2.5</v>
      </c>
      <c r="X25" s="3">
        <v>2</v>
      </c>
      <c r="Y25" s="3">
        <v>2.5</v>
      </c>
      <c r="Z25" s="6"/>
      <c r="AA25" s="6"/>
      <c r="AB25" s="3">
        <v>2.5</v>
      </c>
      <c r="AC25" s="3">
        <v>3</v>
      </c>
      <c r="AD25" s="3">
        <v>2.5</v>
      </c>
      <c r="AE25" s="12"/>
      <c r="AF25" s="12"/>
      <c r="AG25" s="6"/>
      <c r="AH25" s="3">
        <f>SUM(C25:AG25)</f>
        <v>40.5</v>
      </c>
      <c r="AI25" s="16">
        <f>AH25/$AH$36</f>
        <v>0.3</v>
      </c>
    </row>
    <row r="26" spans="1:35" ht="19.5" x14ac:dyDescent="0.3">
      <c r="A26" s="15" t="s">
        <v>46</v>
      </c>
      <c r="B26" s="15" t="s">
        <v>47</v>
      </c>
      <c r="C26" s="3">
        <v>1.5</v>
      </c>
      <c r="D26" s="3">
        <v>1</v>
      </c>
      <c r="E26" s="6"/>
      <c r="F26" s="6"/>
      <c r="G26" s="3"/>
      <c r="H26" s="3">
        <v>1.5</v>
      </c>
      <c r="I26" s="3">
        <v>1</v>
      </c>
      <c r="J26" s="3">
        <v>1</v>
      </c>
      <c r="K26" s="3">
        <v>1.5</v>
      </c>
      <c r="L26" s="6"/>
      <c r="M26" s="6"/>
      <c r="N26" s="3"/>
      <c r="O26" s="3">
        <v>1</v>
      </c>
      <c r="P26" s="3">
        <v>1</v>
      </c>
      <c r="Q26" s="9"/>
      <c r="R26" s="12"/>
      <c r="S26" s="6"/>
      <c r="T26" s="6"/>
      <c r="U26" s="3"/>
      <c r="V26" s="3">
        <v>1</v>
      </c>
      <c r="W26" s="3">
        <v>1</v>
      </c>
      <c r="X26" s="3">
        <v>1</v>
      </c>
      <c r="Y26" s="3"/>
      <c r="Z26" s="6"/>
      <c r="AA26" s="6"/>
      <c r="AB26" s="3">
        <v>1</v>
      </c>
      <c r="AC26" s="3"/>
      <c r="AD26" s="3"/>
      <c r="AE26" s="12"/>
      <c r="AF26" s="12"/>
      <c r="AG26" s="6"/>
      <c r="AH26" s="3">
        <f>SUM(C26:AG26)</f>
        <v>13.5</v>
      </c>
      <c r="AI26" s="16">
        <f>AH26/$AH$36</f>
        <v>0.1</v>
      </c>
    </row>
    <row r="27" spans="1:35" ht="19.5" x14ac:dyDescent="0.3">
      <c r="A27" s="35" t="s">
        <v>48</v>
      </c>
      <c r="B27" s="36"/>
      <c r="C27" s="4">
        <f>SUM(C23:C26)</f>
        <v>7.5</v>
      </c>
      <c r="D27" s="4">
        <f>SUM(D23:D26)</f>
        <v>7.5</v>
      </c>
      <c r="E27" s="7"/>
      <c r="F27" s="7"/>
      <c r="G27" s="4">
        <f>SUM(G23:G26)</f>
        <v>7.5</v>
      </c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7"/>
      <c r="M27" s="7"/>
      <c r="N27" s="4">
        <f>SUM(N23:N26)</f>
        <v>7.5</v>
      </c>
      <c r="O27" s="4">
        <f>SUM(O23:O26)</f>
        <v>7.5</v>
      </c>
      <c r="P27" s="4">
        <f>SUM(P23:P26)</f>
        <v>7.5</v>
      </c>
      <c r="Q27" s="10"/>
      <c r="R27" s="13"/>
      <c r="S27" s="7"/>
      <c r="T27" s="7"/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4">
        <f>SUM(Y23:Y26)</f>
        <v>7.5</v>
      </c>
      <c r="Z27" s="7"/>
      <c r="AA27" s="7"/>
      <c r="AB27" s="4">
        <f>SUM(AB23:AB26)</f>
        <v>7.5</v>
      </c>
      <c r="AC27" s="4">
        <f>SUM(AC23:AC26)</f>
        <v>7.5</v>
      </c>
      <c r="AD27" s="4">
        <f>SUM(AD23:AD26)</f>
        <v>7.5</v>
      </c>
      <c r="AE27" s="13"/>
      <c r="AF27" s="13"/>
      <c r="AG27" s="7"/>
      <c r="AH27" s="4">
        <f>SUM(AH23:AH26)</f>
        <v>135</v>
      </c>
      <c r="AI27" s="14">
        <f>AH27/$AH$36</f>
        <v>1</v>
      </c>
    </row>
    <row r="28" spans="1:35" ht="19.5" x14ac:dyDescent="0.3">
      <c r="A28" s="32" t="s">
        <v>49</v>
      </c>
      <c r="B28" s="32"/>
      <c r="C28" s="3">
        <f>7.5-C27</f>
        <v>0</v>
      </c>
      <c r="D28" s="3">
        <f>7.5-D27</f>
        <v>0</v>
      </c>
      <c r="E28" s="6"/>
      <c r="F28" s="6"/>
      <c r="G28" s="3">
        <f>7.5-G27</f>
        <v>0</v>
      </c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6"/>
      <c r="M28" s="6"/>
      <c r="N28" s="3">
        <f>7.5-N27</f>
        <v>0</v>
      </c>
      <c r="O28" s="3">
        <f>7.5-O27</f>
        <v>0</v>
      </c>
      <c r="P28" s="3">
        <f>7.5-P27</f>
        <v>0</v>
      </c>
      <c r="Q28" s="9"/>
      <c r="R28" s="12"/>
      <c r="S28" s="6"/>
      <c r="T28" s="6"/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3">
        <f>7.5-Y27</f>
        <v>0</v>
      </c>
      <c r="Z28" s="6"/>
      <c r="AA28" s="6"/>
      <c r="AB28" s="3">
        <f>7.5-AB27</f>
        <v>0</v>
      </c>
      <c r="AC28" s="3">
        <f>7.5-AC27</f>
        <v>0</v>
      </c>
      <c r="AD28" s="3">
        <f>7.5-AD27</f>
        <v>0</v>
      </c>
      <c r="AE28" s="12"/>
      <c r="AF28" s="12"/>
      <c r="AG28" s="6"/>
      <c r="AH28" s="3">
        <f t="shared" ref="AH28:AH34" si="0">SUM(C28:AG28)</f>
        <v>0</v>
      </c>
    </row>
    <row r="29" spans="1:35" ht="19.5" x14ac:dyDescent="0.3">
      <c r="A29" s="32"/>
      <c r="B29" s="32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9"/>
      <c r="R29" s="12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12"/>
      <c r="AF29" s="12"/>
      <c r="AG29" s="6"/>
      <c r="AH29" s="3">
        <f t="shared" si="0"/>
        <v>0</v>
      </c>
    </row>
    <row r="30" spans="1:35" ht="19.5" x14ac:dyDescent="0.3">
      <c r="A30" s="32"/>
      <c r="B30" s="32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9"/>
      <c r="R30" s="12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12"/>
      <c r="AF30" s="12"/>
      <c r="AG30" s="6"/>
      <c r="AH30" s="3">
        <f t="shared" si="0"/>
        <v>0</v>
      </c>
    </row>
    <row r="31" spans="1:35" ht="19.5" x14ac:dyDescent="0.3">
      <c r="A31" s="32"/>
      <c r="B31" s="32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9"/>
      <c r="R31" s="12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12"/>
      <c r="AF31" s="12"/>
      <c r="AG31" s="6"/>
      <c r="AH31" s="3">
        <f t="shared" si="0"/>
        <v>0</v>
      </c>
    </row>
    <row r="32" spans="1:35" ht="19.5" x14ac:dyDescent="0.3">
      <c r="A32" s="32" t="s">
        <v>50</v>
      </c>
      <c r="B32" s="32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9"/>
      <c r="R32" s="12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12"/>
      <c r="AF32" s="12"/>
      <c r="AG32" s="6"/>
      <c r="AH32" s="3">
        <f t="shared" si="0"/>
        <v>0</v>
      </c>
    </row>
    <row r="33" spans="1:34" ht="19.5" x14ac:dyDescent="0.3">
      <c r="A33" s="32" t="s">
        <v>51</v>
      </c>
      <c r="B33" s="32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3"/>
      <c r="O33" s="3"/>
      <c r="P33" s="3"/>
      <c r="Q33" s="9"/>
      <c r="R33" s="12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12"/>
      <c r="AF33" s="12"/>
      <c r="AG33" s="6"/>
      <c r="AH33" s="3">
        <f t="shared" si="0"/>
        <v>0</v>
      </c>
    </row>
    <row r="34" spans="1:34" ht="19.5" x14ac:dyDescent="0.3">
      <c r="A34" s="32" t="s">
        <v>52</v>
      </c>
      <c r="B34" s="32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3"/>
      <c r="O34" s="3"/>
      <c r="P34" s="3"/>
      <c r="Q34" s="9"/>
      <c r="R34" s="12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12"/>
      <c r="AF34" s="12"/>
      <c r="AG34" s="6"/>
      <c r="AH34" s="3">
        <f t="shared" si="0"/>
        <v>0</v>
      </c>
    </row>
    <row r="35" spans="1:34" ht="19.5" x14ac:dyDescent="0.3">
      <c r="A35" s="15" t="s">
        <v>53</v>
      </c>
      <c r="B35" s="15"/>
      <c r="C35" s="4">
        <f>SUM(C27:C31)</f>
        <v>7.5</v>
      </c>
      <c r="D35" s="4">
        <f>SUM(D27:D31)</f>
        <v>7.5</v>
      </c>
      <c r="E35" s="7"/>
      <c r="F35" s="7"/>
      <c r="G35" s="4">
        <f>SUM(G27:G31)</f>
        <v>7.5</v>
      </c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7"/>
      <c r="M35" s="7"/>
      <c r="N35" s="4">
        <f>SUM(N27:N31)</f>
        <v>7.5</v>
      </c>
      <c r="O35" s="4">
        <f>SUM(O27:O31)</f>
        <v>7.5</v>
      </c>
      <c r="P35" s="4">
        <f>SUM(P27:P31)</f>
        <v>7.5</v>
      </c>
      <c r="Q35" s="10"/>
      <c r="R35" s="13"/>
      <c r="S35" s="7"/>
      <c r="T35" s="7"/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4">
        <f>SUM(Y27:Y31)</f>
        <v>7.5</v>
      </c>
      <c r="Z35" s="7"/>
      <c r="AA35" s="7"/>
      <c r="AB35" s="4">
        <f>SUM(AB27:AB31)</f>
        <v>7.5</v>
      </c>
      <c r="AC35" s="4">
        <f>SUM(AC27:AC31)</f>
        <v>7.5</v>
      </c>
      <c r="AD35" s="4">
        <f>SUM(AD27:AD31)</f>
        <v>7.5</v>
      </c>
      <c r="AE35" s="13"/>
      <c r="AF35" s="13"/>
      <c r="AG35" s="7"/>
      <c r="AH35" s="4">
        <f>SUM(AH27:AH31)</f>
        <v>135</v>
      </c>
    </row>
    <row r="36" spans="1:34" ht="19.5" x14ac:dyDescent="0.3">
      <c r="A36" s="15" t="s">
        <v>54</v>
      </c>
      <c r="B36" s="1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">
        <f>SUM(AH32:AH35)</f>
        <v>135</v>
      </c>
    </row>
    <row r="39" spans="1:34" x14ac:dyDescent="0.25">
      <c r="A39" s="19" t="s">
        <v>55</v>
      </c>
      <c r="B39" s="19" t="s">
        <v>56</v>
      </c>
      <c r="W39" s="22" t="s">
        <v>58</v>
      </c>
      <c r="X39" s="23"/>
      <c r="Y39" s="23"/>
      <c r="Z39" s="23"/>
      <c r="AA39" s="24"/>
      <c r="AB39" s="22" t="s">
        <v>9</v>
      </c>
      <c r="AC39" s="23"/>
      <c r="AD39" s="23"/>
      <c r="AE39" s="24"/>
    </row>
    <row r="40" spans="1:34" x14ac:dyDescent="0.25">
      <c r="A40" s="20"/>
      <c r="B40" s="20"/>
      <c r="W40" s="25"/>
      <c r="X40" s="26"/>
      <c r="Y40" s="26"/>
      <c r="Z40" s="26"/>
      <c r="AA40" s="27"/>
      <c r="AB40" s="25"/>
      <c r="AC40" s="26"/>
      <c r="AD40" s="26"/>
      <c r="AE40" s="27"/>
    </row>
    <row r="41" spans="1:34" ht="19.5" x14ac:dyDescent="0.25">
      <c r="A41" s="21"/>
      <c r="B41" s="17" t="s">
        <v>57</v>
      </c>
      <c r="W41" s="28"/>
      <c r="X41" s="29"/>
      <c r="Y41" s="29"/>
      <c r="Z41" s="29"/>
      <c r="AA41" s="30"/>
      <c r="AB41" s="31" t="s">
        <v>59</v>
      </c>
      <c r="AC41" s="29"/>
      <c r="AD41" s="29"/>
      <c r="AE41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2024-10-10T10:53:02Z</cp:lastPrinted>
  <dcterms:created xsi:type="dcterms:W3CDTF">2024-10-10T10:24:45Z</dcterms:created>
  <dcterms:modified xsi:type="dcterms:W3CDTF">2024-10-22T11:15:13Z</dcterms:modified>
  <cp:category/>
</cp:coreProperties>
</file>