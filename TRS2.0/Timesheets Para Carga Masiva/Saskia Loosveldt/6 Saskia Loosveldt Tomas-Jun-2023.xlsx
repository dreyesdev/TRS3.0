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41E4F10E-B78B-4489-8D3C-CDDC40BDA43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5" i="1" l="1"/>
  <c r="W25" i="1"/>
  <c r="Q25" i="1"/>
  <c r="K25" i="1"/>
  <c r="D25" i="1"/>
  <c r="AG32" i="1"/>
  <c r="AG31" i="1"/>
  <c r="AG30" i="1"/>
  <c r="AG29" i="1"/>
  <c r="AG28" i="1"/>
  <c r="AG27" i="1"/>
  <c r="AF25" i="1"/>
  <c r="AF26" i="1" s="1"/>
  <c r="AF33" i="1" s="1"/>
  <c r="AE25" i="1"/>
  <c r="AE26" i="1" s="1"/>
  <c r="AE33" i="1" s="1"/>
  <c r="AD25" i="1"/>
  <c r="AB25" i="1"/>
  <c r="AB26" i="1" s="1"/>
  <c r="AB33" i="1" s="1"/>
  <c r="Y25" i="1"/>
  <c r="Y26" i="1" s="1"/>
  <c r="Y33" i="1" s="1"/>
  <c r="X25" i="1"/>
  <c r="V25" i="1"/>
  <c r="V26" i="1" s="1"/>
  <c r="V33" i="1" s="1"/>
  <c r="U25" i="1"/>
  <c r="U26" i="1" s="1"/>
  <c r="U33" i="1" s="1"/>
  <c r="R25" i="1"/>
  <c r="P25" i="1"/>
  <c r="P26" i="1" s="1"/>
  <c r="P33" i="1" s="1"/>
  <c r="O25" i="1"/>
  <c r="O26" i="1" s="1"/>
  <c r="O33" i="1" s="1"/>
  <c r="N25" i="1"/>
  <c r="J25" i="1"/>
  <c r="J26" i="1" s="1"/>
  <c r="J33" i="1" s="1"/>
  <c r="I25" i="1"/>
  <c r="I26" i="1" s="1"/>
  <c r="I33" i="1" s="1"/>
  <c r="H25" i="1"/>
  <c r="C25" i="1"/>
  <c r="C26" i="1" s="1"/>
  <c r="C33" i="1" s="1"/>
  <c r="AG24" i="1"/>
  <c r="AG23" i="1"/>
  <c r="AG25" i="1" l="1"/>
  <c r="P16" i="1"/>
  <c r="X16" i="1" s="1"/>
  <c r="D26" i="1"/>
  <c r="K26" i="1"/>
  <c r="K33" i="1" s="1"/>
  <c r="Q26" i="1"/>
  <c r="Q33" i="1" s="1"/>
  <c r="W26" i="1"/>
  <c r="W33" i="1" s="1"/>
  <c r="AC26" i="1"/>
  <c r="AC33" i="1" s="1"/>
  <c r="H26" i="1"/>
  <c r="H33" i="1" s="1"/>
  <c r="N26" i="1"/>
  <c r="N33" i="1" s="1"/>
  <c r="R26" i="1"/>
  <c r="R33" i="1" s="1"/>
  <c r="X26" i="1"/>
  <c r="X33" i="1" s="1"/>
  <c r="AD26" i="1"/>
  <c r="AD33" i="1" s="1"/>
  <c r="AG26" i="1" l="1"/>
  <c r="AG33" i="1" s="1"/>
  <c r="H16" i="1" s="1"/>
  <c r="D33" i="1"/>
  <c r="AG34" i="1" l="1"/>
  <c r="AH25" i="1"/>
  <c r="AH24" i="1"/>
  <c r="AH23" i="1"/>
</calcChain>
</file>

<file path=xl/sharedStrings.xml><?xml version="1.0" encoding="utf-8"?>
<sst xmlns="http://schemas.openxmlformats.org/spreadsheetml/2006/main" count="90" uniqueCount="65">
  <si>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</si>
  <si>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</si>
  <si>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</si>
  <si>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</si>
  <si>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</si>
  <si>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</si>
  <si>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</si>
  <si>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</si>
  <si>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</si>
  <si>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</si>
  <si>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</si>
  <si>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</si>
  <si>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</si>
  <si>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</si>
  <si>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</si>
  <si>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</si>
  <si>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</si>
  <si>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</si>
  <si>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</si>
  <si>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</si>
  <si>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</si>
  <si>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</si>
  <si>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</si>
  <si>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</si>
  <si>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</si>
  <si>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</si>
  <si>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</si>
  <si>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</si>
  <si>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</si>
  <si>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</si>
  <si>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</si>
  <si>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</si>
  <si>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</si>
  <si>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</si>
  <si>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</si>
  <si>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</si>
  <si>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</si>
  <si>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</si>
  <si>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</si>
  <si>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</si>
  <si>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WP02 Data pipelines &amp; repositories</t>
  </si>
  <si>
    <t>Dedicacion: 46% Estimated:72.45 h</t>
  </si>
  <si>
    <t>PE114000 EERIE - WP11 MP3 - Development of efficient and portable workflows and diagnostics for ER-ESMs</t>
  </si>
  <si>
    <t>Dedicacion: 54% Estimated:85.05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</si>
  <si>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</si>
  <si>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</si>
  <si>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</si>
  <si>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</si>
  <si>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</si>
  <si>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</si>
  <si>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</si>
  <si>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</si>
  <si>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</si>
  <si>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2023-07-05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</si>
  <si>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</si>
  <si>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</si>
  <si>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</si>
  <si>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</si>
  <si>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</si>
  <si>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</si>
  <si>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</si>
  <si>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0895/23</t>
  </si>
  <si>
    <t>2023-06-26</t>
  </si>
  <si>
    <t>2023-06-30</t>
  </si>
  <si>
    <t>PE114000 EERIE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</si>
</sst>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topLeftCell="B8" zoomScale="80" zoomScaleNormal="80" workbookViewId="0">
      <selection activeCell="AB39" sqref="AB39:AE39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39" t="s">
        <v>1</v>
      </c>
      <c r="D2" s="39"/>
      <c r="E2" s="39"/>
    </row>
    <row r="4" spans="1:33" ht="19.5" x14ac:dyDescent="0.3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3" ht="26.25" x14ac:dyDescent="0.4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8" spans="1:33" ht="19.5" x14ac:dyDescent="0.3">
      <c r="A8" s="1" t="s">
        <v>12</v>
      </c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ht="19.5" x14ac:dyDescent="0.3">
      <c r="A9" s="1" t="s">
        <v>13</v>
      </c>
      <c r="B9" s="39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 ht="19.5" x14ac:dyDescent="0.3">
      <c r="A10" s="1" t="s">
        <v>14</v>
      </c>
      <c r="B10" s="39" t="s">
        <v>10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ht="19.5" x14ac:dyDescent="0.3">
      <c r="A11" s="1" t="s">
        <v>15</v>
      </c>
      <c r="B11" s="39" t="s">
        <v>11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ht="19.5" x14ac:dyDescent="0.3">
      <c r="A12" s="1" t="s">
        <v>16</v>
      </c>
      <c r="B12" s="39">
        <v>2023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6" spans="1:33" ht="19.5" x14ac:dyDescent="0.3">
      <c r="F16" s="45" t="s">
        <v>17</v>
      </c>
      <c r="G16" s="46"/>
      <c r="H16" s="44">
        <f>AG33</f>
        <v>157.5</v>
      </c>
      <c r="I16" s="44"/>
      <c r="K16" s="45" t="s">
        <v>18</v>
      </c>
      <c r="L16" s="46"/>
      <c r="M16" s="46"/>
      <c r="N16" s="46"/>
      <c r="O16" s="46"/>
      <c r="P16" s="44">
        <f>AG25</f>
        <v>157.5</v>
      </c>
      <c r="Q16" s="44"/>
      <c r="S16" s="45" t="s">
        <v>19</v>
      </c>
      <c r="T16" s="46"/>
      <c r="U16" s="46"/>
      <c r="V16" s="46"/>
      <c r="W16" s="46"/>
      <c r="X16" s="44">
        <f>(P16/7.5) *1</f>
        <v>21</v>
      </c>
      <c r="Y16" s="44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11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21" t="s">
        <v>36</v>
      </c>
      <c r="AH19" s="22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11">
        <v>26</v>
      </c>
      <c r="AC20" s="11">
        <v>27</v>
      </c>
      <c r="AD20" s="11">
        <v>28</v>
      </c>
      <c r="AE20" s="11">
        <v>29</v>
      </c>
      <c r="AF20" s="11">
        <v>30</v>
      </c>
      <c r="AG20" s="21"/>
      <c r="AH20" s="24"/>
    </row>
    <row r="21" spans="1:34" ht="19.5" x14ac:dyDescent="0.3">
      <c r="A21" s="39" t="s">
        <v>38</v>
      </c>
      <c r="B21" s="39"/>
      <c r="C21" s="37"/>
      <c r="D21" s="37"/>
      <c r="E21" s="43"/>
      <c r="F21" s="43"/>
      <c r="G21" s="42"/>
      <c r="H21" s="37"/>
      <c r="I21" s="37"/>
      <c r="J21" s="37"/>
      <c r="K21" s="37"/>
      <c r="L21" s="43"/>
      <c r="M21" s="43"/>
      <c r="N21" s="37"/>
      <c r="O21" s="37"/>
      <c r="P21" s="37"/>
      <c r="Q21" s="37"/>
      <c r="R21" s="37"/>
      <c r="S21" s="43"/>
      <c r="T21" s="43"/>
      <c r="U21" s="37"/>
      <c r="V21" s="37"/>
      <c r="W21" s="37"/>
      <c r="X21" s="37"/>
      <c r="Y21" s="37"/>
      <c r="Z21" s="42"/>
      <c r="AA21" s="43"/>
      <c r="AB21" s="41"/>
      <c r="AC21" s="41"/>
      <c r="AD21" s="41"/>
      <c r="AE21" s="41"/>
      <c r="AF21" s="41"/>
      <c r="AG21" s="37"/>
      <c r="AH21" s="38"/>
    </row>
    <row r="22" spans="1:34" ht="19.5" x14ac:dyDescent="0.3">
      <c r="A22" s="40" t="s">
        <v>39</v>
      </c>
      <c r="B22" s="40"/>
      <c r="C22" s="37"/>
      <c r="D22" s="37"/>
      <c r="E22" s="43"/>
      <c r="F22" s="43"/>
      <c r="G22" s="42"/>
      <c r="H22" s="37"/>
      <c r="I22" s="37"/>
      <c r="J22" s="37"/>
      <c r="K22" s="37"/>
      <c r="L22" s="43"/>
      <c r="M22" s="43"/>
      <c r="N22" s="37"/>
      <c r="O22" s="37"/>
      <c r="P22" s="37"/>
      <c r="Q22" s="37"/>
      <c r="R22" s="37"/>
      <c r="S22" s="43"/>
      <c r="T22" s="43"/>
      <c r="U22" s="37"/>
      <c r="V22" s="37"/>
      <c r="W22" s="37"/>
      <c r="X22" s="37"/>
      <c r="Y22" s="37"/>
      <c r="Z22" s="42"/>
      <c r="AA22" s="43"/>
      <c r="AB22" s="41"/>
      <c r="AC22" s="41"/>
      <c r="AD22" s="41"/>
      <c r="AE22" s="41"/>
      <c r="AF22" s="41"/>
      <c r="AG22" s="37"/>
      <c r="AH22" s="38"/>
    </row>
    <row r="23" spans="1:34" ht="19.5" x14ac:dyDescent="0.3">
      <c r="A23" s="15" t="s">
        <v>40</v>
      </c>
      <c r="B23" s="15" t="s">
        <v>41</v>
      </c>
      <c r="C23" s="3">
        <v>4</v>
      </c>
      <c r="D23" s="3">
        <v>3.5</v>
      </c>
      <c r="E23" s="6"/>
      <c r="F23" s="6"/>
      <c r="G23" s="9"/>
      <c r="H23" s="3">
        <v>4</v>
      </c>
      <c r="I23" s="3">
        <v>6</v>
      </c>
      <c r="J23" s="3">
        <v>6.5</v>
      </c>
      <c r="K23" s="3">
        <v>5</v>
      </c>
      <c r="L23" s="6"/>
      <c r="M23" s="6"/>
      <c r="N23" s="3">
        <v>5.5</v>
      </c>
      <c r="O23" s="3">
        <v>4</v>
      </c>
      <c r="P23" s="3">
        <v>4.5</v>
      </c>
      <c r="Q23" s="3">
        <v>3.5</v>
      </c>
      <c r="R23" s="3">
        <v>3.5</v>
      </c>
      <c r="S23" s="6"/>
      <c r="T23" s="6"/>
      <c r="U23" s="3">
        <v>4</v>
      </c>
      <c r="V23" s="3">
        <v>4</v>
      </c>
      <c r="W23" s="3">
        <v>5</v>
      </c>
      <c r="X23" s="3">
        <v>4</v>
      </c>
      <c r="Y23" s="3">
        <v>5.5</v>
      </c>
      <c r="Z23" s="9"/>
      <c r="AA23" s="6"/>
      <c r="AB23" s="12"/>
      <c r="AC23" s="12"/>
      <c r="AD23" s="12"/>
      <c r="AE23" s="12"/>
      <c r="AF23" s="12"/>
      <c r="AG23" s="3">
        <f>SUM(C23:AF23)</f>
        <v>72.5</v>
      </c>
      <c r="AH23" s="16">
        <f>AG23/$AG$34</f>
        <v>0.46031746031746029</v>
      </c>
    </row>
    <row r="24" spans="1:34" ht="19.5" x14ac:dyDescent="0.3">
      <c r="A24" s="15" t="s">
        <v>42</v>
      </c>
      <c r="B24" s="15" t="s">
        <v>43</v>
      </c>
      <c r="C24" s="3">
        <v>3.5</v>
      </c>
      <c r="D24" s="3">
        <v>4</v>
      </c>
      <c r="E24" s="6"/>
      <c r="F24" s="6"/>
      <c r="G24" s="9"/>
      <c r="H24" s="3">
        <v>3.5</v>
      </c>
      <c r="I24" s="3">
        <v>1.5</v>
      </c>
      <c r="J24" s="3">
        <v>1</v>
      </c>
      <c r="K24" s="3">
        <v>2.5</v>
      </c>
      <c r="L24" s="6"/>
      <c r="M24" s="6"/>
      <c r="N24" s="3">
        <v>2</v>
      </c>
      <c r="O24" s="3">
        <v>3.5</v>
      </c>
      <c r="P24" s="3">
        <v>3</v>
      </c>
      <c r="Q24" s="3">
        <v>4</v>
      </c>
      <c r="R24" s="3">
        <v>4</v>
      </c>
      <c r="S24" s="6"/>
      <c r="T24" s="6"/>
      <c r="U24" s="3">
        <v>3.5</v>
      </c>
      <c r="V24" s="3">
        <v>3.5</v>
      </c>
      <c r="W24" s="3">
        <v>2.5</v>
      </c>
      <c r="X24" s="3">
        <v>3.5</v>
      </c>
      <c r="Y24" s="3">
        <v>2</v>
      </c>
      <c r="Z24" s="9"/>
      <c r="AA24" s="6"/>
      <c r="AB24" s="12">
        <v>7.5</v>
      </c>
      <c r="AC24" s="12">
        <v>7.5</v>
      </c>
      <c r="AD24" s="12">
        <v>7.5</v>
      </c>
      <c r="AE24" s="12">
        <v>7.5</v>
      </c>
      <c r="AF24" s="12">
        <v>7.5</v>
      </c>
      <c r="AG24" s="3">
        <f>SUM(C24:AF24)</f>
        <v>85</v>
      </c>
      <c r="AH24" s="16">
        <f>AG24/$AG$34</f>
        <v>0.53968253968253965</v>
      </c>
    </row>
    <row r="25" spans="1:34" ht="19.5" x14ac:dyDescent="0.3">
      <c r="A25" s="35" t="s">
        <v>44</v>
      </c>
      <c r="B25" s="36"/>
      <c r="C25" s="4">
        <f>SUM(C23:C24)</f>
        <v>7.5</v>
      </c>
      <c r="D25" s="4">
        <f>SUM(D23:D24)</f>
        <v>7.5</v>
      </c>
      <c r="E25" s="7"/>
      <c r="F25" s="7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7"/>
      <c r="T25" s="7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10"/>
      <c r="AA25" s="7"/>
      <c r="AB25" s="13">
        <f t="shared" ref="AB25:AG25" si="0">SUM(AB23:AB24)</f>
        <v>7.5</v>
      </c>
      <c r="AC25" s="13">
        <f t="shared" si="0"/>
        <v>7.5</v>
      </c>
      <c r="AD25" s="13">
        <f t="shared" si="0"/>
        <v>7.5</v>
      </c>
      <c r="AE25" s="13">
        <f t="shared" si="0"/>
        <v>7.5</v>
      </c>
      <c r="AF25" s="13">
        <f t="shared" si="0"/>
        <v>7.5</v>
      </c>
      <c r="AG25" s="4">
        <f t="shared" si="0"/>
        <v>157.5</v>
      </c>
      <c r="AH25" s="14">
        <f>AG25/$AG$34</f>
        <v>1</v>
      </c>
    </row>
    <row r="26" spans="1:34" ht="19.5" x14ac:dyDescent="0.3">
      <c r="A26" s="20" t="s">
        <v>45</v>
      </c>
      <c r="B26" s="20"/>
      <c r="C26" s="3">
        <f>7.5-C25</f>
        <v>0</v>
      </c>
      <c r="D26" s="3">
        <f>7.5-D25</f>
        <v>0</v>
      </c>
      <c r="E26" s="6"/>
      <c r="F26" s="6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6"/>
      <c r="T26" s="6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9"/>
      <c r="AA26" s="6"/>
      <c r="AB26" s="12">
        <f>7.5-AB25</f>
        <v>0</v>
      </c>
      <c r="AC26" s="12">
        <f>7.5-AC25</f>
        <v>0</v>
      </c>
      <c r="AD26" s="12">
        <f>7.5-AD25</f>
        <v>0</v>
      </c>
      <c r="AE26" s="12">
        <f>7.5-AE25</f>
        <v>0</v>
      </c>
      <c r="AF26" s="12">
        <f>7.5-AF25</f>
        <v>0</v>
      </c>
      <c r="AG26" s="3">
        <f t="shared" ref="AG26:AG32" si="1">SUM(C26:AF26)</f>
        <v>0</v>
      </c>
    </row>
    <row r="27" spans="1:34" ht="19.5" x14ac:dyDescent="0.3">
      <c r="A27" s="20"/>
      <c r="B27" s="20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9"/>
      <c r="AA27" s="6"/>
      <c r="AB27" s="12"/>
      <c r="AC27" s="12"/>
      <c r="AD27" s="12"/>
      <c r="AE27" s="12"/>
      <c r="AF27" s="12"/>
      <c r="AG27" s="3">
        <f t="shared" si="1"/>
        <v>0</v>
      </c>
    </row>
    <row r="28" spans="1:34" ht="19.5" x14ac:dyDescent="0.3">
      <c r="A28" s="20"/>
      <c r="B28" s="20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9"/>
      <c r="AA28" s="6"/>
      <c r="AB28" s="12"/>
      <c r="AC28" s="12"/>
      <c r="AD28" s="12"/>
      <c r="AE28" s="12"/>
      <c r="AF28" s="12"/>
      <c r="AG28" s="3">
        <f t="shared" si="1"/>
        <v>0</v>
      </c>
    </row>
    <row r="29" spans="1:34" ht="19.5" x14ac:dyDescent="0.3">
      <c r="A29" s="20"/>
      <c r="B29" s="20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12"/>
      <c r="AC29" s="12"/>
      <c r="AD29" s="12"/>
      <c r="AE29" s="12"/>
      <c r="AF29" s="12"/>
      <c r="AG29" s="3">
        <f t="shared" si="1"/>
        <v>0</v>
      </c>
    </row>
    <row r="30" spans="1:34" ht="19.5" x14ac:dyDescent="0.3">
      <c r="A30" s="20" t="s">
        <v>46</v>
      </c>
      <c r="B30" s="20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12"/>
      <c r="AC30" s="12"/>
      <c r="AD30" s="12"/>
      <c r="AE30" s="12"/>
      <c r="AF30" s="12"/>
      <c r="AG30" s="3">
        <f t="shared" si="1"/>
        <v>0</v>
      </c>
    </row>
    <row r="31" spans="1:34" ht="19.5" x14ac:dyDescent="0.3">
      <c r="A31" s="20" t="s">
        <v>47</v>
      </c>
      <c r="B31" s="20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12"/>
      <c r="AC31" s="12"/>
      <c r="AD31" s="12"/>
      <c r="AE31" s="12"/>
      <c r="AF31" s="12"/>
      <c r="AG31" s="3">
        <f t="shared" si="1"/>
        <v>0</v>
      </c>
    </row>
    <row r="32" spans="1:34" ht="19.5" x14ac:dyDescent="0.3">
      <c r="A32" s="20" t="s">
        <v>48</v>
      </c>
      <c r="B32" s="20"/>
      <c r="C32" s="3"/>
      <c r="D32" s="3"/>
      <c r="E32" s="6"/>
      <c r="F32" s="6"/>
      <c r="G32" s="9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12"/>
      <c r="AC32" s="12"/>
      <c r="AD32" s="12"/>
      <c r="AE32" s="12"/>
      <c r="AF32" s="12"/>
      <c r="AG32" s="3">
        <f t="shared" si="1"/>
        <v>0</v>
      </c>
    </row>
    <row r="33" spans="1:33" ht="19.5" x14ac:dyDescent="0.3">
      <c r="A33" s="15" t="s">
        <v>49</v>
      </c>
      <c r="B33" s="15"/>
      <c r="C33" s="4">
        <f>SUM(C25:C29)</f>
        <v>7.5</v>
      </c>
      <c r="D33" s="4">
        <f>SUM(D25:D29)</f>
        <v>7.5</v>
      </c>
      <c r="E33" s="7"/>
      <c r="F33" s="7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7"/>
      <c r="T33" s="7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10"/>
      <c r="AA33" s="7"/>
      <c r="AB33" s="13">
        <f t="shared" ref="AB33:AG33" si="2">SUM(AB25:AB29)</f>
        <v>7.5</v>
      </c>
      <c r="AC33" s="13">
        <f t="shared" si="2"/>
        <v>7.5</v>
      </c>
      <c r="AD33" s="13">
        <f t="shared" si="2"/>
        <v>7.5</v>
      </c>
      <c r="AE33" s="13">
        <f t="shared" si="2"/>
        <v>7.5</v>
      </c>
      <c r="AF33" s="13">
        <f t="shared" si="2"/>
        <v>7.5</v>
      </c>
      <c r="AG33" s="4">
        <f t="shared" si="2"/>
        <v>157.5</v>
      </c>
    </row>
    <row r="34" spans="1:33" ht="19.5" x14ac:dyDescent="0.3">
      <c r="A34" s="15" t="s">
        <v>50</v>
      </c>
      <c r="B34" s="15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">
        <f>SUM(AG30:AG33)</f>
        <v>157.5</v>
      </c>
    </row>
    <row r="37" spans="1:33" x14ac:dyDescent="0.25">
      <c r="A37" s="22" t="s">
        <v>51</v>
      </c>
      <c r="B37" s="22" t="s">
        <v>52</v>
      </c>
      <c r="W37" s="25" t="s">
        <v>54</v>
      </c>
      <c r="X37" s="26"/>
      <c r="Y37" s="26"/>
      <c r="Z37" s="26"/>
      <c r="AA37" s="27"/>
      <c r="AB37" s="25" t="s">
        <v>9</v>
      </c>
      <c r="AC37" s="26"/>
      <c r="AD37" s="26"/>
      <c r="AE37" s="27"/>
    </row>
    <row r="38" spans="1:33" x14ac:dyDescent="0.25">
      <c r="A38" s="23"/>
      <c r="B38" s="23"/>
      <c r="W38" s="28"/>
      <c r="X38" s="29"/>
      <c r="Y38" s="29"/>
      <c r="Z38" s="29"/>
      <c r="AA38" s="30"/>
      <c r="AB38" s="28"/>
      <c r="AC38" s="29"/>
      <c r="AD38" s="29"/>
      <c r="AE38" s="30"/>
    </row>
    <row r="39" spans="1:33" ht="19.5" x14ac:dyDescent="0.25">
      <c r="A39" s="24"/>
      <c r="B39" s="17" t="s">
        <v>53</v>
      </c>
      <c r="W39" s="31"/>
      <c r="X39" s="32"/>
      <c r="Y39" s="32"/>
      <c r="Z39" s="32"/>
      <c r="AA39" s="33"/>
      <c r="AB39" s="34" t="s">
        <v>53</v>
      </c>
      <c r="AC39" s="32"/>
      <c r="AD39" s="32"/>
      <c r="AE39" s="33"/>
    </row>
    <row r="41" spans="1:33" ht="19.5" x14ac:dyDescent="0.25">
      <c r="A41" s="18" t="s">
        <v>55</v>
      </c>
      <c r="B41" s="19"/>
    </row>
    <row r="42" spans="1:33" ht="19.5" x14ac:dyDescent="0.3">
      <c r="A42" s="2" t="s">
        <v>56</v>
      </c>
      <c r="B42" s="2" t="s">
        <v>57</v>
      </c>
      <c r="C42" s="2" t="s">
        <v>58</v>
      </c>
      <c r="D42" s="2" t="s">
        <v>59</v>
      </c>
      <c r="E42" s="2" t="s">
        <v>60</v>
      </c>
    </row>
    <row r="43" spans="1:33" x14ac:dyDescent="0.25">
      <c r="A43" t="s">
        <v>61</v>
      </c>
      <c r="B43" t="s">
        <v>64</v>
      </c>
      <c r="C43">
        <v>100</v>
      </c>
      <c r="D43" t="s">
        <v>62</v>
      </c>
      <c r="E43" t="s">
        <v>63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41:B41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2024-05-24T07:51:51Z</dcterms:created>
  <dcterms:modified xsi:type="dcterms:W3CDTF">2024-05-26T18:44:37Z</dcterms:modified>
  <cp:category/>
</cp:coreProperties>
</file>