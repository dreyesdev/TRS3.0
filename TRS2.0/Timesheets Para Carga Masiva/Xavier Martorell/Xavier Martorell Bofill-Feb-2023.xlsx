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B2034E35-A9AD-47B5-8528-EE8B1CEF022E}" xr6:coauthVersionLast="36" xr6:coauthVersionMax="36" xr10:uidLastSave="{00000000-0000-0000-0000-000000000000}"/>
  <bookViews>
    <workbookView xWindow="0" yWindow="0" windowWidth="23460" windowHeight="8055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D29" i="1" l="1"/>
  <c r="D30" i="1" s="1"/>
  <c r="E29" i="1"/>
  <c r="E30" i="1" s="1"/>
  <c r="E37" i="1" s="1"/>
  <c r="H29" i="1"/>
  <c r="H30" i="1" s="1"/>
  <c r="I29" i="1"/>
  <c r="I30" i="1" s="1"/>
  <c r="J29" i="1"/>
  <c r="K29" i="1"/>
  <c r="K30" i="1" s="1"/>
  <c r="L29" i="1"/>
  <c r="L30" i="1" s="1"/>
  <c r="L37" i="1" s="1"/>
  <c r="O29" i="1"/>
  <c r="O30" i="1" s="1"/>
  <c r="P29" i="1"/>
  <c r="P30" i="1" s="1"/>
  <c r="P37" i="1" s="1"/>
  <c r="Q29" i="1"/>
  <c r="Q30" i="1" s="1"/>
  <c r="Q37" i="1" s="1"/>
  <c r="R29" i="1"/>
  <c r="R30" i="1" s="1"/>
  <c r="R37" i="1" s="1"/>
  <c r="S29" i="1"/>
  <c r="S30" i="1" s="1"/>
  <c r="V29" i="1"/>
  <c r="V30" i="1" s="1"/>
  <c r="V37" i="1" s="1"/>
  <c r="W29" i="1"/>
  <c r="W30" i="1" s="1"/>
  <c r="X29" i="1"/>
  <c r="X30" i="1" s="1"/>
  <c r="X37" i="1" s="1"/>
  <c r="Y29" i="1"/>
  <c r="Y30" i="1" s="1"/>
  <c r="Z29" i="1"/>
  <c r="Z30" i="1" s="1"/>
  <c r="AC29" i="1"/>
  <c r="AC30" i="1" s="1"/>
  <c r="AD29" i="1"/>
  <c r="C29" i="1"/>
  <c r="C30" i="1" s="1"/>
  <c r="AE28" i="1"/>
  <c r="AE36" i="1"/>
  <c r="AE35" i="1"/>
  <c r="AE34" i="1"/>
  <c r="AE33" i="1"/>
  <c r="AE32" i="1"/>
  <c r="AE31" i="1"/>
  <c r="AE27" i="1"/>
  <c r="AE26" i="1"/>
  <c r="AE25" i="1"/>
  <c r="AE24" i="1"/>
  <c r="AE23" i="1"/>
  <c r="AE29" i="1" l="1"/>
  <c r="P16" i="1" s="1"/>
  <c r="X16" i="1" s="1"/>
  <c r="Y37" i="1"/>
  <c r="D37" i="1"/>
  <c r="J30" i="1"/>
  <c r="J37" i="1" s="1"/>
  <c r="Z37" i="1"/>
  <c r="H37" i="1"/>
  <c r="AD30" i="1"/>
  <c r="AD37" i="1" s="1"/>
  <c r="C37" i="1"/>
  <c r="AC37" i="1"/>
  <c r="I37" i="1"/>
  <c r="K37" i="1"/>
  <c r="W37" i="1"/>
  <c r="O37" i="1"/>
  <c r="S37" i="1"/>
  <c r="AE38" i="1" l="1"/>
  <c r="AE30" i="1"/>
  <c r="AE37" i="1" s="1"/>
  <c r="H16" i="1" l="1"/>
  <c r="AE16" i="1" s="1"/>
  <c r="AF23" i="1" l="1"/>
  <c r="AF28" i="1"/>
  <c r="AF26" i="1"/>
  <c r="AF25" i="1"/>
  <c r="AF27" i="1"/>
  <c r="AF29" i="1"/>
  <c r="AF24" i="1"/>
</calcChain>
</file>

<file path=xl/sharedStrings.xml><?xml version="1.0" encoding="utf-8"?>
<sst xmlns="http://schemas.openxmlformats.org/spreadsheetml/2006/main" count="86" uniqueCount="63">
  <si>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</si>
  <si>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</si>
  <si>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</si>
  <si>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</si>
  <si>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</si>
  <si>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</si>
  <si>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</si>
  <si>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</si>
  <si>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</si>
  <si>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</si>
  <si>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</si>
  <si>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</si>
  <si>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</si>
  <si>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</si>
  <si>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</si>
  <si>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</si>
  <si>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</si>
  <si>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</si>
  <si>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</si>
  <si>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</si>
  <si>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</si>
  <si>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</si>
  <si>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</si>
  <si>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</si>
  <si>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</si>
  <si>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</si>
  <si>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</si>
  <si>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</si>
  <si>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</si>
  <si>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</si>
  <si>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</si>
  <si>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</si>
  <si>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</si>
  <si>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</si>
  <si>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</si>
  <si>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</si>
  <si>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</si>
  <si>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</si>
  <si>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</si>
  <si>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</si>
  <si>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</si>
  <si>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</si>
  <si>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 xml:space="preserve">PE079100 MEEP - WP06 FPGA programming/Tools support and Emulation Integration </t>
  </si>
  <si>
    <t>Dedicacion: 44% Estimated:66 h</t>
  </si>
  <si>
    <t>PE086200 TEXTAROSSA - WP1 Specifications, Co-design &amp;benchmarkingv</t>
  </si>
  <si>
    <t>Dedicacion: 10% Estimated:15 h</t>
  </si>
  <si>
    <t>PE086200 TEXTAROSSA - WP8 Project Management and Exploitation</t>
  </si>
  <si>
    <t>Dedicacion: 3% Estimated:4.5 h</t>
  </si>
  <si>
    <t>PE086200 TEXTAROSSA - WP4 Tool chain for heterogeneous multi-node HPC platform</t>
  </si>
  <si>
    <t>PE086200 TEXTAROSSA - WP2 New accelerator designs exploitingmixed precision</t>
  </si>
  <si>
    <t>Dedicacion: 20% Estimated:30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</si>
  <si>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</si>
  <si>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</si>
  <si>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</si>
  <si>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</si>
  <si>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</si>
  <si>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</si>
  <si>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</si>
  <si>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</si>
  <si>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</si>
  <si>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2023-03-13</t>
  </si>
  <si>
    <t xml:space="preserve">Date and signature of staff member:	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</si>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</sst>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000000"/>
      <name val="Calibri"/>
    </font>
    <font>
      <b/>
      <sz val="11"/>
      <color rgb="FF9EAEF5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9" fontId="0" fillId="0" borderId="0" xfId="1" applyFont="1"/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3"/>
  <sheetViews>
    <sheetView tabSelected="1" zoomScale="70" zoomScaleNormal="70" workbookViewId="0">
      <selection activeCell="K25" sqref="K25"/>
    </sheetView>
  </sheetViews>
  <sheetFormatPr defaultColWidth="9.140625" defaultRowHeight="15" x14ac:dyDescent="0.25"/>
  <cols>
    <col min="1" max="2" width="30" customWidth="1"/>
  </cols>
  <sheetData>
    <row r="2" spans="1:32" x14ac:dyDescent="0.25">
      <c r="C2" s="33" t="s">
        <v>1</v>
      </c>
      <c r="D2" s="33"/>
      <c r="E2" s="33"/>
    </row>
    <row r="4" spans="1:32" x14ac:dyDescent="0.25">
      <c r="C4" s="45" t="s">
        <v>2</v>
      </c>
      <c r="D4" s="45"/>
      <c r="E4" s="45"/>
      <c r="F4" s="46" t="s">
        <v>3</v>
      </c>
      <c r="G4" s="46"/>
      <c r="H4" s="47" t="s">
        <v>4</v>
      </c>
      <c r="I4" s="47"/>
      <c r="J4" s="48" t="s">
        <v>5</v>
      </c>
      <c r="K4" s="48"/>
      <c r="L4" s="49" t="s">
        <v>6</v>
      </c>
      <c r="M4" s="49"/>
      <c r="N4" s="50" t="s">
        <v>7</v>
      </c>
      <c r="O4" s="50"/>
      <c r="P4" s="50"/>
    </row>
    <row r="6" spans="1:32" ht="26.25" x14ac:dyDescent="0.4">
      <c r="A6" s="44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0"/>
      <c r="AB6" s="41"/>
      <c r="AC6" s="41"/>
      <c r="AD6" s="41"/>
      <c r="AE6" s="41"/>
    </row>
    <row r="8" spans="1:32" x14ac:dyDescent="0.25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spans="1:32" x14ac:dyDescent="0.25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2" x14ac:dyDescent="0.25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2" x14ac:dyDescent="0.25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spans="1:32" x14ac:dyDescent="0.25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6" spans="1:32" x14ac:dyDescent="0.25">
      <c r="A16" s="40" t="s">
        <v>17</v>
      </c>
      <c r="B16" s="41"/>
      <c r="C16" s="42">
        <v>0</v>
      </c>
      <c r="D16" s="42"/>
      <c r="F16" s="40" t="s">
        <v>18</v>
      </c>
      <c r="G16" s="41"/>
      <c r="H16" s="42">
        <f>AE37</f>
        <v>150</v>
      </c>
      <c r="I16" s="42"/>
      <c r="K16" s="40" t="s">
        <v>19</v>
      </c>
      <c r="L16" s="41"/>
      <c r="M16" s="41"/>
      <c r="N16" s="41"/>
      <c r="O16" s="41"/>
      <c r="P16" s="42">
        <f>AE29</f>
        <v>150</v>
      </c>
      <c r="Q16" s="42"/>
      <c r="S16" s="40" t="s">
        <v>20</v>
      </c>
      <c r="T16" s="41"/>
      <c r="U16" s="41"/>
      <c r="V16" s="41"/>
      <c r="W16" s="41"/>
      <c r="X16" s="43">
        <f>P16/6.5</f>
        <v>23.076923076923077</v>
      </c>
      <c r="Y16" s="43"/>
      <c r="AA16" s="41" t="s">
        <v>21</v>
      </c>
      <c r="AB16" s="41"/>
      <c r="AC16" s="41"/>
      <c r="AD16" s="41"/>
      <c r="AE16" s="39">
        <f>P16/H16</f>
        <v>1</v>
      </c>
      <c r="AF16" s="39"/>
    </row>
    <row r="19" spans="1:32" x14ac:dyDescent="0.25">
      <c r="C19" s="2" t="s">
        <v>22</v>
      </c>
      <c r="D19" s="2" t="s">
        <v>24</v>
      </c>
      <c r="E19" s="2" t="s">
        <v>26</v>
      </c>
      <c r="F19" s="6" t="s">
        <v>28</v>
      </c>
      <c r="G19" s="6" t="s">
        <v>30</v>
      </c>
      <c r="H19" s="2" t="s">
        <v>32</v>
      </c>
      <c r="I19" s="2" t="s">
        <v>34</v>
      </c>
      <c r="J19" s="2" t="s">
        <v>22</v>
      </c>
      <c r="K19" s="2" t="s">
        <v>24</v>
      </c>
      <c r="L19" s="2" t="s">
        <v>26</v>
      </c>
      <c r="M19" s="6" t="s">
        <v>28</v>
      </c>
      <c r="N19" s="6" t="s">
        <v>30</v>
      </c>
      <c r="O19" s="2" t="s">
        <v>32</v>
      </c>
      <c r="P19" s="2" t="s">
        <v>34</v>
      </c>
      <c r="Q19" s="2" t="s">
        <v>22</v>
      </c>
      <c r="R19" s="2" t="s">
        <v>24</v>
      </c>
      <c r="S19" s="2" t="s">
        <v>26</v>
      </c>
      <c r="T19" s="6" t="s">
        <v>28</v>
      </c>
      <c r="U19" s="6" t="s">
        <v>30</v>
      </c>
      <c r="V19" s="2" t="s">
        <v>32</v>
      </c>
      <c r="W19" s="2" t="s">
        <v>34</v>
      </c>
      <c r="X19" s="2" t="s">
        <v>22</v>
      </c>
      <c r="Y19" s="2" t="s">
        <v>24</v>
      </c>
      <c r="Z19" s="2" t="s">
        <v>26</v>
      </c>
      <c r="AA19" s="6" t="s">
        <v>28</v>
      </c>
      <c r="AB19" s="6" t="s">
        <v>30</v>
      </c>
      <c r="AC19" s="2" t="s">
        <v>32</v>
      </c>
      <c r="AD19" s="2" t="s">
        <v>34</v>
      </c>
      <c r="AE19" s="19" t="s">
        <v>38</v>
      </c>
      <c r="AF19" s="20" t="s">
        <v>39</v>
      </c>
    </row>
    <row r="20" spans="1:32" x14ac:dyDescent="0.25">
      <c r="C20" s="2" t="s">
        <v>23</v>
      </c>
      <c r="D20" s="2" t="s">
        <v>25</v>
      </c>
      <c r="E20" s="2" t="s">
        <v>27</v>
      </c>
      <c r="F20" s="6" t="s">
        <v>29</v>
      </c>
      <c r="G20" s="6" t="s">
        <v>31</v>
      </c>
      <c r="H20" s="2" t="s">
        <v>33</v>
      </c>
      <c r="I20" s="2" t="s">
        <v>35</v>
      </c>
      <c r="J20" s="2" t="s">
        <v>36</v>
      </c>
      <c r="K20" s="2" t="s">
        <v>37</v>
      </c>
      <c r="L20" s="2">
        <v>10</v>
      </c>
      <c r="M20" s="6">
        <v>11</v>
      </c>
      <c r="N20" s="6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6">
        <v>18</v>
      </c>
      <c r="U20" s="6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6">
        <v>25</v>
      </c>
      <c r="AB20" s="6">
        <v>26</v>
      </c>
      <c r="AC20" s="2">
        <v>27</v>
      </c>
      <c r="AD20" s="2">
        <v>28</v>
      </c>
      <c r="AE20" s="19"/>
      <c r="AF20" s="22"/>
    </row>
    <row r="21" spans="1:32" x14ac:dyDescent="0.25">
      <c r="A21" s="33" t="s">
        <v>40</v>
      </c>
      <c r="B21" s="33"/>
      <c r="C21" s="37"/>
      <c r="D21" s="37"/>
      <c r="E21" s="37"/>
      <c r="F21" s="36"/>
      <c r="G21" s="36"/>
      <c r="H21" s="37"/>
      <c r="I21" s="37"/>
      <c r="J21" s="37"/>
      <c r="K21" s="37"/>
      <c r="L21" s="37"/>
      <c r="M21" s="36"/>
      <c r="N21" s="36"/>
      <c r="O21" s="37"/>
      <c r="P21" s="37"/>
      <c r="Q21" s="37"/>
      <c r="R21" s="37"/>
      <c r="S21" s="37"/>
      <c r="T21" s="36"/>
      <c r="U21" s="36"/>
      <c r="V21" s="37"/>
      <c r="W21" s="37"/>
      <c r="X21" s="37"/>
      <c r="Y21" s="37"/>
      <c r="Z21" s="37"/>
      <c r="AA21" s="36"/>
      <c r="AB21" s="36"/>
      <c r="AC21" s="37"/>
      <c r="AD21" s="37"/>
      <c r="AE21" s="37"/>
      <c r="AF21" s="38"/>
    </row>
    <row r="22" spans="1:32" x14ac:dyDescent="0.25">
      <c r="A22" s="32" t="s">
        <v>41</v>
      </c>
      <c r="B22" s="32"/>
      <c r="C22" s="37"/>
      <c r="D22" s="37"/>
      <c r="E22" s="37"/>
      <c r="F22" s="36"/>
      <c r="G22" s="36"/>
      <c r="H22" s="37"/>
      <c r="I22" s="37"/>
      <c r="J22" s="37"/>
      <c r="K22" s="37"/>
      <c r="L22" s="37"/>
      <c r="M22" s="36"/>
      <c r="N22" s="36"/>
      <c r="O22" s="37"/>
      <c r="P22" s="37"/>
      <c r="Q22" s="37"/>
      <c r="R22" s="37"/>
      <c r="S22" s="37"/>
      <c r="T22" s="36"/>
      <c r="U22" s="36"/>
      <c r="V22" s="37"/>
      <c r="W22" s="37"/>
      <c r="X22" s="37"/>
      <c r="Y22" s="37"/>
      <c r="Z22" s="37"/>
      <c r="AA22" s="36"/>
      <c r="AB22" s="36"/>
      <c r="AC22" s="37"/>
      <c r="AD22" s="37"/>
      <c r="AE22" s="37"/>
      <c r="AF22" s="38"/>
    </row>
    <row r="23" spans="1:32" x14ac:dyDescent="0.25">
      <c r="A23" s="11" t="s">
        <v>42</v>
      </c>
      <c r="B23" s="11" t="s">
        <v>43</v>
      </c>
      <c r="C23" s="3">
        <v>3</v>
      </c>
      <c r="D23" s="3">
        <v>3</v>
      </c>
      <c r="E23" s="3">
        <v>3</v>
      </c>
      <c r="F23" s="7"/>
      <c r="G23" s="7"/>
      <c r="H23" s="3">
        <v>5</v>
      </c>
      <c r="I23" s="3">
        <v>3</v>
      </c>
      <c r="J23" s="3">
        <v>3</v>
      </c>
      <c r="K23" s="3">
        <v>3</v>
      </c>
      <c r="L23" s="3">
        <v>3</v>
      </c>
      <c r="M23" s="7"/>
      <c r="N23" s="7"/>
      <c r="O23" s="3">
        <v>5</v>
      </c>
      <c r="P23" s="3">
        <v>3</v>
      </c>
      <c r="Q23" s="3">
        <v>3</v>
      </c>
      <c r="R23" s="3">
        <v>3</v>
      </c>
      <c r="S23" s="3">
        <v>3</v>
      </c>
      <c r="T23" s="7"/>
      <c r="U23" s="7"/>
      <c r="V23" s="3">
        <v>4</v>
      </c>
      <c r="W23" s="3">
        <v>3</v>
      </c>
      <c r="X23" s="3">
        <v>3</v>
      </c>
      <c r="Y23" s="3">
        <v>3</v>
      </c>
      <c r="Z23" s="3">
        <v>3</v>
      </c>
      <c r="AA23" s="7"/>
      <c r="AB23" s="7"/>
      <c r="AC23" s="3">
        <v>4</v>
      </c>
      <c r="AD23" s="3">
        <v>3</v>
      </c>
      <c r="AE23" s="3">
        <f t="shared" ref="AE23:AE28" si="0">SUM(C23:AD23)</f>
        <v>66</v>
      </c>
      <c r="AF23" s="16">
        <f t="shared" ref="AF23:AF29" si="1">AE23/$AE$38</f>
        <v>0.44</v>
      </c>
    </row>
    <row r="24" spans="1:32" x14ac:dyDescent="0.25">
      <c r="A24" s="11" t="s">
        <v>44</v>
      </c>
      <c r="B24" s="11" t="s">
        <v>45</v>
      </c>
      <c r="C24" s="3"/>
      <c r="D24" s="3"/>
      <c r="E24" s="3">
        <v>3</v>
      </c>
      <c r="F24" s="7"/>
      <c r="G24" s="7"/>
      <c r="H24" s="3"/>
      <c r="I24" s="3"/>
      <c r="J24" s="3"/>
      <c r="K24" s="3"/>
      <c r="L24" s="3">
        <v>3</v>
      </c>
      <c r="M24" s="7"/>
      <c r="N24" s="7"/>
      <c r="O24" s="3"/>
      <c r="P24" s="3"/>
      <c r="Q24" s="3"/>
      <c r="R24" s="3"/>
      <c r="S24" s="3">
        <v>3</v>
      </c>
      <c r="T24" s="7"/>
      <c r="U24" s="7"/>
      <c r="V24" s="3"/>
      <c r="W24" s="3"/>
      <c r="X24" s="3"/>
      <c r="Y24" s="3"/>
      <c r="Z24" s="3">
        <v>3</v>
      </c>
      <c r="AA24" s="7"/>
      <c r="AB24" s="7"/>
      <c r="AC24" s="3"/>
      <c r="AD24" s="3">
        <v>3</v>
      </c>
      <c r="AE24" s="3">
        <f t="shared" si="0"/>
        <v>15</v>
      </c>
      <c r="AF24" s="16">
        <f t="shared" si="1"/>
        <v>0.1</v>
      </c>
    </row>
    <row r="25" spans="1:32" x14ac:dyDescent="0.25">
      <c r="A25" s="11" t="s">
        <v>46</v>
      </c>
      <c r="B25" s="11" t="s">
        <v>47</v>
      </c>
      <c r="C25" s="3"/>
      <c r="D25" s="3">
        <v>2</v>
      </c>
      <c r="E25" s="3"/>
      <c r="F25" s="7"/>
      <c r="G25" s="7"/>
      <c r="H25" s="3"/>
      <c r="I25" s="3"/>
      <c r="J25" s="3"/>
      <c r="K25" s="3">
        <v>2.5</v>
      </c>
      <c r="L25" s="3"/>
      <c r="M25" s="7"/>
      <c r="N25" s="7"/>
      <c r="O25" s="3"/>
      <c r="P25" s="3"/>
      <c r="Q25" s="3"/>
      <c r="R25" s="3"/>
      <c r="S25" s="3"/>
      <c r="T25" s="7"/>
      <c r="U25" s="7"/>
      <c r="V25" s="3"/>
      <c r="W25" s="3"/>
      <c r="X25" s="3"/>
      <c r="Y25" s="3"/>
      <c r="Z25" s="3"/>
      <c r="AA25" s="7"/>
      <c r="AB25" s="7"/>
      <c r="AC25" s="3"/>
      <c r="AD25" s="3"/>
      <c r="AE25" s="3">
        <f t="shared" si="0"/>
        <v>4.5</v>
      </c>
      <c r="AF25" s="16">
        <f t="shared" si="1"/>
        <v>0.03</v>
      </c>
    </row>
    <row r="26" spans="1:32" x14ac:dyDescent="0.25">
      <c r="A26" s="11" t="s">
        <v>48</v>
      </c>
      <c r="B26" s="11" t="s">
        <v>45</v>
      </c>
      <c r="C26" s="3"/>
      <c r="D26" s="3">
        <v>1.5</v>
      </c>
      <c r="E26" s="3">
        <v>0.5</v>
      </c>
      <c r="F26" s="7"/>
      <c r="G26" s="7"/>
      <c r="H26" s="3"/>
      <c r="I26" s="3"/>
      <c r="J26" s="3"/>
      <c r="K26" s="3">
        <v>1</v>
      </c>
      <c r="L26" s="3">
        <v>0.5</v>
      </c>
      <c r="M26" s="7"/>
      <c r="N26" s="7"/>
      <c r="O26" s="3"/>
      <c r="P26" s="3"/>
      <c r="Q26" s="3"/>
      <c r="R26" s="3">
        <v>1.5</v>
      </c>
      <c r="S26" s="3">
        <v>0.5</v>
      </c>
      <c r="T26" s="7"/>
      <c r="U26" s="7"/>
      <c r="V26" s="3">
        <v>0.5</v>
      </c>
      <c r="W26" s="3">
        <v>1.5</v>
      </c>
      <c r="X26" s="3">
        <v>2.5</v>
      </c>
      <c r="Y26" s="3">
        <v>3.5</v>
      </c>
      <c r="Z26" s="3">
        <v>0.5</v>
      </c>
      <c r="AA26" s="7"/>
      <c r="AB26" s="7"/>
      <c r="AC26" s="3">
        <v>1</v>
      </c>
      <c r="AD26" s="3"/>
      <c r="AE26" s="3">
        <f t="shared" si="0"/>
        <v>15</v>
      </c>
      <c r="AF26" s="16">
        <f t="shared" si="1"/>
        <v>0.1</v>
      </c>
    </row>
    <row r="27" spans="1:32" x14ac:dyDescent="0.25">
      <c r="A27" s="11" t="s">
        <v>49</v>
      </c>
      <c r="B27" s="11" t="s">
        <v>50</v>
      </c>
      <c r="C27" s="3">
        <v>3.5</v>
      </c>
      <c r="D27" s="3"/>
      <c r="E27" s="3"/>
      <c r="F27" s="7"/>
      <c r="G27" s="7"/>
      <c r="H27" s="3">
        <v>1.5</v>
      </c>
      <c r="I27" s="3">
        <v>3.5</v>
      </c>
      <c r="J27" s="3">
        <v>3.5</v>
      </c>
      <c r="K27" s="3"/>
      <c r="L27" s="3"/>
      <c r="M27" s="7"/>
      <c r="N27" s="7"/>
      <c r="O27" s="3">
        <v>1.5</v>
      </c>
      <c r="P27" s="3">
        <v>3.5</v>
      </c>
      <c r="Q27" s="3">
        <v>3.5</v>
      </c>
      <c r="R27" s="3">
        <v>2</v>
      </c>
      <c r="S27" s="3"/>
      <c r="T27" s="7"/>
      <c r="U27" s="7"/>
      <c r="V27" s="3">
        <v>2</v>
      </c>
      <c r="W27" s="3">
        <v>2</v>
      </c>
      <c r="X27" s="3">
        <v>1</v>
      </c>
      <c r="Y27" s="3"/>
      <c r="Z27" s="3"/>
      <c r="AA27" s="7"/>
      <c r="AB27" s="7"/>
      <c r="AC27" s="3">
        <v>1.5</v>
      </c>
      <c r="AD27" s="3">
        <v>0.5</v>
      </c>
      <c r="AE27" s="3">
        <f t="shared" si="0"/>
        <v>29.5</v>
      </c>
      <c r="AF27" s="16">
        <f t="shared" si="1"/>
        <v>0.19666666666666666</v>
      </c>
    </row>
    <row r="28" spans="1:32" x14ac:dyDescent="0.25">
      <c r="A28" s="12" t="s">
        <v>62</v>
      </c>
      <c r="B28" s="13"/>
      <c r="C28" s="14">
        <v>1</v>
      </c>
      <c r="D28" s="14">
        <v>1</v>
      </c>
      <c r="E28" s="14">
        <v>1</v>
      </c>
      <c r="F28" s="15"/>
      <c r="G28" s="15"/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5"/>
      <c r="N28" s="15"/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5"/>
      <c r="U28" s="15"/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5"/>
      <c r="AB28" s="15"/>
      <c r="AC28" s="14">
        <v>1</v>
      </c>
      <c r="AD28" s="14">
        <v>1</v>
      </c>
      <c r="AE28" s="3">
        <f t="shared" si="0"/>
        <v>20</v>
      </c>
      <c r="AF28" s="16">
        <f t="shared" si="1"/>
        <v>0.13333333333333333</v>
      </c>
    </row>
    <row r="29" spans="1:32" x14ac:dyDescent="0.25">
      <c r="A29" s="34" t="s">
        <v>51</v>
      </c>
      <c r="B29" s="35"/>
      <c r="C29" s="4">
        <f>SUM(C23:C28)</f>
        <v>7.5</v>
      </c>
      <c r="D29" s="4">
        <f t="shared" ref="D29:AD29" si="2">SUM(D23:D28)</f>
        <v>7.5</v>
      </c>
      <c r="E29" s="4">
        <f t="shared" si="2"/>
        <v>7.5</v>
      </c>
      <c r="F29" s="8"/>
      <c r="G29" s="8"/>
      <c r="H29" s="4">
        <f t="shared" si="2"/>
        <v>7.5</v>
      </c>
      <c r="I29" s="4">
        <f t="shared" si="2"/>
        <v>7.5</v>
      </c>
      <c r="J29" s="4">
        <f t="shared" si="2"/>
        <v>7.5</v>
      </c>
      <c r="K29" s="4">
        <f t="shared" si="2"/>
        <v>7.5</v>
      </c>
      <c r="L29" s="4">
        <f t="shared" si="2"/>
        <v>7.5</v>
      </c>
      <c r="M29" s="8"/>
      <c r="N29" s="8"/>
      <c r="O29" s="4">
        <f t="shared" si="2"/>
        <v>7.5</v>
      </c>
      <c r="P29" s="4">
        <f t="shared" si="2"/>
        <v>7.5</v>
      </c>
      <c r="Q29" s="4">
        <f t="shared" si="2"/>
        <v>7.5</v>
      </c>
      <c r="R29" s="4">
        <f t="shared" si="2"/>
        <v>7.5</v>
      </c>
      <c r="S29" s="4">
        <f t="shared" si="2"/>
        <v>7.5</v>
      </c>
      <c r="T29" s="8"/>
      <c r="U29" s="8"/>
      <c r="V29" s="4">
        <f t="shared" si="2"/>
        <v>7.5</v>
      </c>
      <c r="W29" s="4">
        <f t="shared" si="2"/>
        <v>7.5</v>
      </c>
      <c r="X29" s="4">
        <f t="shared" si="2"/>
        <v>7.5</v>
      </c>
      <c r="Y29" s="4">
        <f t="shared" si="2"/>
        <v>7.5</v>
      </c>
      <c r="Z29" s="4">
        <f t="shared" si="2"/>
        <v>7.5</v>
      </c>
      <c r="AA29" s="8"/>
      <c r="AB29" s="8"/>
      <c r="AC29" s="4">
        <f t="shared" si="2"/>
        <v>7.5</v>
      </c>
      <c r="AD29" s="4">
        <f t="shared" si="2"/>
        <v>7.5</v>
      </c>
      <c r="AE29" s="4">
        <f>SUM(AE23:AE28)</f>
        <v>150</v>
      </c>
      <c r="AF29" s="17">
        <f t="shared" si="1"/>
        <v>1</v>
      </c>
    </row>
    <row r="30" spans="1:32" x14ac:dyDescent="0.25">
      <c r="A30" s="32" t="s">
        <v>52</v>
      </c>
      <c r="B30" s="32"/>
      <c r="C30" s="3">
        <f>7.5-C29</f>
        <v>0</v>
      </c>
      <c r="D30" s="3">
        <f t="shared" ref="D30:AD30" si="3">7.5-D29</f>
        <v>0</v>
      </c>
      <c r="E30" s="3">
        <f t="shared" si="3"/>
        <v>0</v>
      </c>
      <c r="F30" s="7"/>
      <c r="G30" s="7"/>
      <c r="H30" s="3">
        <f t="shared" si="3"/>
        <v>0</v>
      </c>
      <c r="I30" s="3">
        <f t="shared" si="3"/>
        <v>0</v>
      </c>
      <c r="J30" s="3">
        <f t="shared" si="3"/>
        <v>0</v>
      </c>
      <c r="K30" s="3">
        <f t="shared" si="3"/>
        <v>0</v>
      </c>
      <c r="L30" s="3">
        <f t="shared" si="3"/>
        <v>0</v>
      </c>
      <c r="M30" s="7"/>
      <c r="N30" s="7"/>
      <c r="O30" s="3">
        <f t="shared" si="3"/>
        <v>0</v>
      </c>
      <c r="P30" s="3">
        <f t="shared" si="3"/>
        <v>0</v>
      </c>
      <c r="Q30" s="3">
        <f t="shared" si="3"/>
        <v>0</v>
      </c>
      <c r="R30" s="3">
        <f t="shared" si="3"/>
        <v>0</v>
      </c>
      <c r="S30" s="3">
        <f t="shared" si="3"/>
        <v>0</v>
      </c>
      <c r="T30" s="7"/>
      <c r="U30" s="7"/>
      <c r="V30" s="3">
        <f t="shared" si="3"/>
        <v>0</v>
      </c>
      <c r="W30" s="3">
        <f t="shared" si="3"/>
        <v>0</v>
      </c>
      <c r="X30" s="3">
        <f t="shared" si="3"/>
        <v>0</v>
      </c>
      <c r="Y30" s="3">
        <f t="shared" si="3"/>
        <v>0</v>
      </c>
      <c r="Z30" s="3">
        <f t="shared" si="3"/>
        <v>0</v>
      </c>
      <c r="AA30" s="7"/>
      <c r="AB30" s="7"/>
      <c r="AC30" s="3">
        <f t="shared" si="3"/>
        <v>0</v>
      </c>
      <c r="AD30" s="3">
        <f t="shared" si="3"/>
        <v>0</v>
      </c>
      <c r="AE30" s="3">
        <f t="shared" ref="AE30:AE36" si="4">SUM(C30:AD30)</f>
        <v>0</v>
      </c>
      <c r="AF30" s="18"/>
    </row>
    <row r="31" spans="1:32" x14ac:dyDescent="0.25">
      <c r="A31" s="32"/>
      <c r="B31" s="32"/>
      <c r="C31" s="3"/>
      <c r="D31" s="3"/>
      <c r="E31" s="3"/>
      <c r="F31" s="7"/>
      <c r="G31" s="7"/>
      <c r="H31" s="3"/>
      <c r="I31" s="3"/>
      <c r="J31" s="3"/>
      <c r="K31" s="3"/>
      <c r="L31" s="3"/>
      <c r="M31" s="7"/>
      <c r="N31" s="7"/>
      <c r="O31" s="3"/>
      <c r="P31" s="3"/>
      <c r="Q31" s="3"/>
      <c r="R31" s="3"/>
      <c r="S31" s="3"/>
      <c r="T31" s="7"/>
      <c r="U31" s="7"/>
      <c r="V31" s="3"/>
      <c r="W31" s="3"/>
      <c r="X31" s="3"/>
      <c r="Y31" s="3"/>
      <c r="Z31" s="3"/>
      <c r="AA31" s="7"/>
      <c r="AB31" s="7"/>
      <c r="AC31" s="3"/>
      <c r="AD31" s="3"/>
      <c r="AE31" s="3">
        <f t="shared" si="4"/>
        <v>0</v>
      </c>
    </row>
    <row r="32" spans="1:32" x14ac:dyDescent="0.25">
      <c r="A32" s="32"/>
      <c r="B32" s="32"/>
      <c r="C32" s="3"/>
      <c r="D32" s="3"/>
      <c r="E32" s="3"/>
      <c r="F32" s="7"/>
      <c r="G32" s="7"/>
      <c r="H32" s="3"/>
      <c r="I32" s="3"/>
      <c r="J32" s="3"/>
      <c r="K32" s="3"/>
      <c r="L32" s="3"/>
      <c r="M32" s="7"/>
      <c r="N32" s="7"/>
      <c r="O32" s="3"/>
      <c r="P32" s="3"/>
      <c r="Q32" s="3"/>
      <c r="R32" s="3"/>
      <c r="S32" s="3"/>
      <c r="T32" s="7"/>
      <c r="U32" s="7"/>
      <c r="V32" s="3"/>
      <c r="W32" s="3"/>
      <c r="X32" s="3"/>
      <c r="Y32" s="3"/>
      <c r="Z32" s="3"/>
      <c r="AA32" s="7"/>
      <c r="AB32" s="7"/>
      <c r="AC32" s="3"/>
      <c r="AD32" s="3"/>
      <c r="AE32" s="3">
        <f t="shared" si="4"/>
        <v>0</v>
      </c>
    </row>
    <row r="33" spans="1:31" x14ac:dyDescent="0.25">
      <c r="A33" s="32"/>
      <c r="B33" s="32"/>
      <c r="C33" s="3"/>
      <c r="D33" s="3"/>
      <c r="E33" s="3"/>
      <c r="F33" s="7"/>
      <c r="G33" s="7"/>
      <c r="H33" s="3"/>
      <c r="I33" s="3"/>
      <c r="J33" s="3"/>
      <c r="K33" s="3"/>
      <c r="L33" s="3"/>
      <c r="M33" s="7"/>
      <c r="N33" s="7"/>
      <c r="O33" s="3"/>
      <c r="P33" s="3"/>
      <c r="Q33" s="3"/>
      <c r="R33" s="3"/>
      <c r="S33" s="3"/>
      <c r="T33" s="7"/>
      <c r="U33" s="7"/>
      <c r="V33" s="3"/>
      <c r="W33" s="3"/>
      <c r="X33" s="3"/>
      <c r="Y33" s="3"/>
      <c r="Z33" s="3"/>
      <c r="AA33" s="7"/>
      <c r="AB33" s="7"/>
      <c r="AC33" s="3"/>
      <c r="AD33" s="3"/>
      <c r="AE33" s="3">
        <f t="shared" si="4"/>
        <v>0</v>
      </c>
    </row>
    <row r="34" spans="1:31" x14ac:dyDescent="0.25">
      <c r="A34" s="32" t="s">
        <v>53</v>
      </c>
      <c r="B34" s="32"/>
      <c r="C34" s="3"/>
      <c r="D34" s="3"/>
      <c r="E34" s="3"/>
      <c r="F34" s="7"/>
      <c r="G34" s="7"/>
      <c r="H34" s="3"/>
      <c r="I34" s="3"/>
      <c r="J34" s="3"/>
      <c r="K34" s="3"/>
      <c r="L34" s="3"/>
      <c r="M34" s="7"/>
      <c r="N34" s="7"/>
      <c r="O34" s="3"/>
      <c r="P34" s="3"/>
      <c r="Q34" s="3"/>
      <c r="R34" s="3"/>
      <c r="S34" s="3"/>
      <c r="T34" s="7"/>
      <c r="U34" s="7"/>
      <c r="V34" s="3"/>
      <c r="W34" s="3"/>
      <c r="X34" s="3"/>
      <c r="Y34" s="3"/>
      <c r="Z34" s="3"/>
      <c r="AA34" s="7"/>
      <c r="AB34" s="7"/>
      <c r="AC34" s="3"/>
      <c r="AD34" s="3"/>
      <c r="AE34" s="3">
        <f t="shared" si="4"/>
        <v>0</v>
      </c>
    </row>
    <row r="35" spans="1:31" x14ac:dyDescent="0.25">
      <c r="A35" s="32" t="s">
        <v>54</v>
      </c>
      <c r="B35" s="32"/>
      <c r="C35" s="3"/>
      <c r="D35" s="3"/>
      <c r="E35" s="3"/>
      <c r="F35" s="7"/>
      <c r="G35" s="7"/>
      <c r="H35" s="3"/>
      <c r="I35" s="3"/>
      <c r="J35" s="3"/>
      <c r="K35" s="3"/>
      <c r="L35" s="3"/>
      <c r="M35" s="7"/>
      <c r="N35" s="7"/>
      <c r="O35" s="3"/>
      <c r="P35" s="3"/>
      <c r="Q35" s="3"/>
      <c r="R35" s="3"/>
      <c r="S35" s="3"/>
      <c r="T35" s="7"/>
      <c r="U35" s="7"/>
      <c r="V35" s="3"/>
      <c r="W35" s="3"/>
      <c r="X35" s="3"/>
      <c r="Y35" s="3"/>
      <c r="Z35" s="3"/>
      <c r="AA35" s="7"/>
      <c r="AB35" s="7"/>
      <c r="AC35" s="3"/>
      <c r="AD35" s="3"/>
      <c r="AE35" s="3">
        <f t="shared" si="4"/>
        <v>0</v>
      </c>
    </row>
    <row r="36" spans="1:31" x14ac:dyDescent="0.25">
      <c r="A36" s="32" t="s">
        <v>55</v>
      </c>
      <c r="B36" s="32"/>
      <c r="C36" s="3"/>
      <c r="D36" s="3"/>
      <c r="E36" s="3"/>
      <c r="F36" s="7"/>
      <c r="G36" s="7"/>
      <c r="H36" s="3"/>
      <c r="I36" s="3"/>
      <c r="J36" s="3"/>
      <c r="K36" s="3"/>
      <c r="L36" s="3"/>
      <c r="M36" s="7"/>
      <c r="N36" s="7"/>
      <c r="O36" s="3"/>
      <c r="P36" s="3"/>
      <c r="Q36" s="3"/>
      <c r="R36" s="3"/>
      <c r="S36" s="3"/>
      <c r="T36" s="7"/>
      <c r="U36" s="7"/>
      <c r="V36" s="3"/>
      <c r="W36" s="3"/>
      <c r="X36" s="3"/>
      <c r="Y36" s="3"/>
      <c r="Z36" s="3"/>
      <c r="AA36" s="7"/>
      <c r="AB36" s="7"/>
      <c r="AC36" s="3"/>
      <c r="AD36" s="3"/>
      <c r="AE36" s="3">
        <f t="shared" si="4"/>
        <v>0</v>
      </c>
    </row>
    <row r="37" spans="1:31" x14ac:dyDescent="0.25">
      <c r="A37" s="11" t="s">
        <v>56</v>
      </c>
      <c r="B37" s="11"/>
      <c r="C37" s="5">
        <f>SUM(C29:C33)</f>
        <v>7.5</v>
      </c>
      <c r="D37" s="5">
        <f>SUM(D29:D33)</f>
        <v>7.5</v>
      </c>
      <c r="E37" s="5">
        <f>SUM(E29:E33)</f>
        <v>7.5</v>
      </c>
      <c r="F37" s="9"/>
      <c r="G37" s="9"/>
      <c r="H37" s="5">
        <f>SUM(H29:H33)</f>
        <v>7.5</v>
      </c>
      <c r="I37" s="5">
        <f>SUM(I29:I33)</f>
        <v>7.5</v>
      </c>
      <c r="J37" s="5">
        <f>SUM(J29:J33)</f>
        <v>7.5</v>
      </c>
      <c r="K37" s="5">
        <f>SUM(K29:K33)</f>
        <v>7.5</v>
      </c>
      <c r="L37" s="5">
        <f>SUM(L29:L33)</f>
        <v>7.5</v>
      </c>
      <c r="M37" s="9"/>
      <c r="N37" s="9"/>
      <c r="O37" s="5">
        <f>SUM(O29:O33)</f>
        <v>7.5</v>
      </c>
      <c r="P37" s="5">
        <f>SUM(P29:P33)</f>
        <v>7.5</v>
      </c>
      <c r="Q37" s="5">
        <f>SUM(Q29:Q33)</f>
        <v>7.5</v>
      </c>
      <c r="R37" s="5">
        <f>SUM(R29:R33)</f>
        <v>7.5</v>
      </c>
      <c r="S37" s="5">
        <f>SUM(S29:S33)</f>
        <v>7.5</v>
      </c>
      <c r="T37" s="9"/>
      <c r="U37" s="9"/>
      <c r="V37" s="5">
        <f>SUM(V29:V33)</f>
        <v>7.5</v>
      </c>
      <c r="W37" s="5">
        <f>SUM(W29:W33)</f>
        <v>7.5</v>
      </c>
      <c r="X37" s="5">
        <f>SUM(X29:X33)</f>
        <v>7.5</v>
      </c>
      <c r="Y37" s="5">
        <f>SUM(Y29:Y33)</f>
        <v>7.5</v>
      </c>
      <c r="Z37" s="5">
        <f>SUM(Z29:Z33)</f>
        <v>7.5</v>
      </c>
      <c r="AA37" s="9"/>
      <c r="AB37" s="9"/>
      <c r="AC37" s="5">
        <f>SUM(AC29:AC33)</f>
        <v>7.5</v>
      </c>
      <c r="AD37" s="5">
        <f>SUM(AD29:AD33)</f>
        <v>7.5</v>
      </c>
      <c r="AE37" s="5">
        <f>SUM(AE29:AE33)</f>
        <v>150</v>
      </c>
    </row>
    <row r="38" spans="1:31" x14ac:dyDescent="0.25">
      <c r="A38" s="11" t="s">
        <v>57</v>
      </c>
      <c r="B38" s="1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">
        <f>SUM(C37:AD37)</f>
        <v>150</v>
      </c>
    </row>
    <row r="41" spans="1:31" x14ac:dyDescent="0.25">
      <c r="A41" s="20" t="s">
        <v>58</v>
      </c>
      <c r="B41" s="20" t="s">
        <v>59</v>
      </c>
      <c r="W41" s="23" t="s">
        <v>61</v>
      </c>
      <c r="X41" s="24"/>
      <c r="Y41" s="24"/>
      <c r="Z41" s="24"/>
      <c r="AA41" s="25"/>
      <c r="AB41" s="23" t="s">
        <v>9</v>
      </c>
      <c r="AC41" s="24"/>
      <c r="AD41" s="24"/>
      <c r="AE41" s="25"/>
    </row>
    <row r="42" spans="1:31" x14ac:dyDescent="0.25">
      <c r="A42" s="21"/>
      <c r="B42" s="21"/>
      <c r="W42" s="26"/>
      <c r="X42" s="27"/>
      <c r="Y42" s="27"/>
      <c r="Z42" s="27"/>
      <c r="AA42" s="28"/>
      <c r="AB42" s="26"/>
      <c r="AC42" s="27"/>
      <c r="AD42" s="27"/>
      <c r="AE42" s="28"/>
    </row>
    <row r="43" spans="1:31" x14ac:dyDescent="0.25">
      <c r="A43" s="22"/>
      <c r="B43" s="10" t="s">
        <v>60</v>
      </c>
      <c r="W43" s="29"/>
      <c r="X43" s="30"/>
      <c r="Y43" s="30"/>
      <c r="Z43" s="30"/>
      <c r="AA43" s="31"/>
      <c r="AB43" s="29"/>
      <c r="AC43" s="30"/>
      <c r="AD43" s="30"/>
      <c r="AE43" s="31"/>
    </row>
  </sheetData>
  <mergeCells count="71">
    <mergeCell ref="A6:AE6"/>
    <mergeCell ref="C2:E2"/>
    <mergeCell ref="C4:E4"/>
    <mergeCell ref="F4:G4"/>
    <mergeCell ref="H4:I4"/>
    <mergeCell ref="J4:K4"/>
    <mergeCell ref="L4:M4"/>
    <mergeCell ref="N4:P4"/>
    <mergeCell ref="B8:AE8"/>
    <mergeCell ref="B9:AE9"/>
    <mergeCell ref="B10:AE10"/>
    <mergeCell ref="B11:AE11"/>
    <mergeCell ref="B12:AE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D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2023-07-31T15:42:40Z</dcterms:created>
  <dcterms:modified xsi:type="dcterms:W3CDTF">2023-08-02T08:03:57Z</dcterms:modified>
  <cp:category/>
</cp:coreProperties>
</file>