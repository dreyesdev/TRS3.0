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Marta Bertran Ferrer\"/>
    </mc:Choice>
  </mc:AlternateContent>
  <xr:revisionPtr revIDLastSave="0" documentId="8_{8BE3FD59-E157-49EC-A7D6-B4BA32B0BE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F25" i="1"/>
  <c r="P25" i="1"/>
  <c r="O25" i="1"/>
  <c r="N25" i="1"/>
  <c r="K25" i="1"/>
  <c r="I25" i="1"/>
  <c r="H25" i="1"/>
  <c r="AF24" i="1"/>
  <c r="AE24" i="1"/>
  <c r="AD24" i="1"/>
  <c r="AC24" i="1"/>
  <c r="AB24" i="1"/>
  <c r="Y24" i="1"/>
  <c r="X24" i="1"/>
  <c r="X25" i="1" s="1"/>
  <c r="X32" i="1" s="1"/>
  <c r="W24" i="1"/>
  <c r="W25" i="1" s="1"/>
  <c r="V24" i="1"/>
  <c r="U24" i="1"/>
  <c r="U25" i="1" s="1"/>
  <c r="U32" i="1" s="1"/>
  <c r="R24" i="1"/>
  <c r="P24" i="1"/>
  <c r="O24" i="1"/>
  <c r="N24" i="1"/>
  <c r="K24" i="1"/>
  <c r="J24" i="1"/>
  <c r="I24" i="1"/>
  <c r="I32" i="1" s="1"/>
  <c r="H24" i="1"/>
  <c r="H32" i="1" s="1"/>
  <c r="G24" i="1"/>
  <c r="G25" i="1" s="1"/>
  <c r="G32" i="1" s="1"/>
  <c r="D24" i="1"/>
  <c r="D25" i="1" s="1"/>
  <c r="C24" i="1"/>
  <c r="AH23" i="1"/>
  <c r="V25" i="1" l="1"/>
  <c r="V32" i="1" s="1"/>
  <c r="K32" i="1"/>
  <c r="AD32" i="1"/>
  <c r="Y25" i="1"/>
  <c r="Y32" i="1" s="1"/>
  <c r="N32" i="1"/>
  <c r="AE32" i="1"/>
  <c r="AB25" i="1"/>
  <c r="AB32" i="1" s="1"/>
  <c r="O32" i="1"/>
  <c r="AF32" i="1"/>
  <c r="AD25" i="1"/>
  <c r="P32" i="1"/>
  <c r="C25" i="1"/>
  <c r="C32" i="1" s="1"/>
  <c r="AE25" i="1"/>
  <c r="J25" i="1"/>
  <c r="AC25" i="1"/>
  <c r="AC32" i="1" s="1"/>
  <c r="D32" i="1"/>
  <c r="W32" i="1"/>
  <c r="AH24" i="1"/>
  <c r="R25" i="1"/>
  <c r="R32" i="1" s="1"/>
  <c r="AH25" i="1" l="1"/>
  <c r="AH32" i="1"/>
  <c r="P16" i="1"/>
  <c r="X16" i="1" s="1"/>
  <c r="J32" i="1"/>
  <c r="H16" i="1" l="1"/>
  <c r="AH33" i="1"/>
  <c r="AI23" i="1" s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<sst xmlns="http://schemas.openxmlformats.org/spreadsheetml/2006/main" count="78" uniqueCount="53">
  <si>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</si>
  <si>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</si>
  <si>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</si>
  <si>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</si>
  <si>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</si>
  <si>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</si>
  <si>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</si>
  <si>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</si>
  <si>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</si>
  <si>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Marta Bertran Ferrer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</si>
  <si>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</si>
  <si>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</si>
  <si>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</si>
  <si>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</si>
  <si>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</si>
  <si>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</si>
  <si>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</si>
  <si>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</si>
  <si>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</si>
  <si>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</si>
  <si>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</si>
  <si>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</si>
  <si>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</si>
  <si>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</si>
  <si>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</si>
  <si>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</si>
  <si>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</si>
  <si>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</si>
  <si>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</si>
  <si>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</si>
  <si>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</si>
  <si>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</si>
  <si>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</si>
  <si>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</si>
  <si>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</si>
  <si>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</si>
  <si>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</si>
  <si>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</si>
  <si>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</si>
  <si>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</si>
  <si>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WP3 Computational infrastructure and AI</t>
  </si>
  <si>
    <t>Dedicacion: 13% Estimated:21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</si>
  <si>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</si>
  <si>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</si>
  <si>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</si>
  <si>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</si>
  <si>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</si>
  <si>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</si>
  <si>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</si>
  <si>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</si>
  <si>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</si>
  <si>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2024-09-02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</si>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</sst>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68" zoomScaleNormal="68" workbookViewId="0">
      <selection activeCell="J29" sqref="J2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21</v>
      </c>
      <c r="I16" s="25"/>
      <c r="K16" s="24" t="s">
        <v>18</v>
      </c>
      <c r="L16" s="16"/>
      <c r="M16" s="16"/>
      <c r="N16" s="16"/>
      <c r="O16" s="16"/>
      <c r="P16" s="26">
        <f>AH24</f>
        <v>21</v>
      </c>
      <c r="Q16" s="26"/>
      <c r="S16" s="24" t="s">
        <v>19</v>
      </c>
      <c r="T16" s="16"/>
      <c r="U16" s="16"/>
      <c r="V16" s="16"/>
      <c r="W16" s="16"/>
      <c r="X16" s="25">
        <f>(P16/1) *0.13</f>
        <v>2.73</v>
      </c>
      <c r="Y16" s="25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8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7"/>
      <c r="E21" s="28"/>
      <c r="F21" s="28"/>
      <c r="G21" s="27"/>
      <c r="H21" s="27"/>
      <c r="I21" s="27"/>
      <c r="J21" s="27"/>
      <c r="K21" s="27"/>
      <c r="L21" s="28"/>
      <c r="M21" s="28"/>
      <c r="N21" s="27"/>
      <c r="O21" s="27"/>
      <c r="P21" s="27"/>
      <c r="Q21" s="29"/>
      <c r="R21" s="27"/>
      <c r="S21" s="28"/>
      <c r="T21" s="28"/>
      <c r="U21" s="27"/>
      <c r="V21" s="27"/>
      <c r="W21" s="27"/>
      <c r="X21" s="27"/>
      <c r="Y21" s="27"/>
      <c r="Z21" s="28"/>
      <c r="AA21" s="28"/>
      <c r="AB21" s="27"/>
      <c r="AC21" s="27"/>
      <c r="AD21" s="27"/>
      <c r="AE21" s="27"/>
      <c r="AF21" s="27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7"/>
      <c r="E22" s="28"/>
      <c r="F22" s="28"/>
      <c r="G22" s="27"/>
      <c r="H22" s="27"/>
      <c r="I22" s="27"/>
      <c r="J22" s="27"/>
      <c r="K22" s="27"/>
      <c r="L22" s="28"/>
      <c r="M22" s="28"/>
      <c r="N22" s="27"/>
      <c r="O22" s="27"/>
      <c r="P22" s="27"/>
      <c r="Q22" s="29"/>
      <c r="R22" s="27"/>
      <c r="S22" s="28"/>
      <c r="T22" s="28"/>
      <c r="U22" s="27"/>
      <c r="V22" s="27"/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1</v>
      </c>
      <c r="D23" s="3">
        <v>1</v>
      </c>
      <c r="E23" s="6"/>
      <c r="F23" s="6"/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6"/>
      <c r="M23" s="6"/>
      <c r="N23" s="3">
        <v>1</v>
      </c>
      <c r="O23" s="3">
        <v>1</v>
      </c>
      <c r="P23" s="3">
        <v>1</v>
      </c>
      <c r="Q23" s="9"/>
      <c r="R23" s="3">
        <v>1</v>
      </c>
      <c r="S23" s="6"/>
      <c r="T23" s="6"/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6"/>
      <c r="AA23" s="6"/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6"/>
      <c r="AH23" s="3">
        <f>SUM(C23:AG23)</f>
        <v>21</v>
      </c>
      <c r="AI23" s="13">
        <f>AH23/$AH$33*0.13</f>
        <v>0.13</v>
      </c>
    </row>
    <row r="24" spans="1:35" ht="19.5" x14ac:dyDescent="0.3">
      <c r="A24" s="35" t="s">
        <v>42</v>
      </c>
      <c r="B24" s="36"/>
      <c r="C24" s="4">
        <f>SUM(C23:C23)</f>
        <v>1</v>
      </c>
      <c r="D24" s="4">
        <f>SUM(D23:D23)</f>
        <v>1</v>
      </c>
      <c r="E24" s="7"/>
      <c r="F24" s="7"/>
      <c r="G24" s="4">
        <f>SUM(G23:G23)</f>
        <v>1</v>
      </c>
      <c r="H24" s="4">
        <f>SUM(H23:H23)</f>
        <v>1</v>
      </c>
      <c r="I24" s="4">
        <f>SUM(I23:I23)</f>
        <v>1</v>
      </c>
      <c r="J24" s="4">
        <f>SUM(J23:J23)</f>
        <v>1</v>
      </c>
      <c r="K24" s="4">
        <f>SUM(K23:K23)</f>
        <v>1</v>
      </c>
      <c r="L24" s="7"/>
      <c r="M24" s="7"/>
      <c r="N24" s="4">
        <f>SUM(N23:N23)</f>
        <v>1</v>
      </c>
      <c r="O24" s="4">
        <f>SUM(O23:O23)</f>
        <v>1</v>
      </c>
      <c r="P24" s="4">
        <f>SUM(P23:P23)</f>
        <v>1</v>
      </c>
      <c r="Q24" s="10"/>
      <c r="R24" s="4">
        <f>SUM(R23:R23)</f>
        <v>1</v>
      </c>
      <c r="S24" s="7"/>
      <c r="T24" s="7"/>
      <c r="U24" s="4">
        <f>SUM(U23:U23)</f>
        <v>1</v>
      </c>
      <c r="V24" s="4">
        <f>SUM(V23:V23)</f>
        <v>1</v>
      </c>
      <c r="W24" s="4">
        <f>SUM(W23:W23)</f>
        <v>1</v>
      </c>
      <c r="X24" s="4">
        <f>SUM(X23:X23)</f>
        <v>1</v>
      </c>
      <c r="Y24" s="4">
        <f>SUM(Y23:Y23)</f>
        <v>1</v>
      </c>
      <c r="Z24" s="7"/>
      <c r="AA24" s="7"/>
      <c r="AB24" s="4">
        <f>SUM(AB23:AB23)</f>
        <v>1</v>
      </c>
      <c r="AC24" s="4">
        <f>SUM(AC23:AC23)</f>
        <v>1</v>
      </c>
      <c r="AD24" s="4">
        <f>SUM(AD23:AD23)</f>
        <v>1</v>
      </c>
      <c r="AE24" s="4">
        <f>SUM(AE23:AE23)</f>
        <v>1</v>
      </c>
      <c r="AF24" s="4">
        <f>SUM(AF23:AF23)</f>
        <v>1</v>
      </c>
      <c r="AG24" s="7"/>
      <c r="AH24" s="4">
        <f>SUM(AH23:AH23)</f>
        <v>21</v>
      </c>
      <c r="AI24" s="11">
        <f>AH24/$AH$33</f>
        <v>1</v>
      </c>
    </row>
    <row r="25" spans="1:35" ht="19.5" x14ac:dyDescent="0.3">
      <c r="A25" s="37" t="s">
        <v>43</v>
      </c>
      <c r="B25" s="37"/>
      <c r="C25" s="3">
        <f>1-C24</f>
        <v>0</v>
      </c>
      <c r="D25" s="3">
        <f>1-D24</f>
        <v>0</v>
      </c>
      <c r="E25" s="6"/>
      <c r="F25" s="6"/>
      <c r="G25" s="3">
        <f>1-G24</f>
        <v>0</v>
      </c>
      <c r="H25" s="3">
        <f>1-H24</f>
        <v>0</v>
      </c>
      <c r="I25" s="3">
        <f>1-I24</f>
        <v>0</v>
      </c>
      <c r="J25" s="3">
        <f>1-J24</f>
        <v>0</v>
      </c>
      <c r="K25" s="3">
        <f>1-K24</f>
        <v>0</v>
      </c>
      <c r="L25" s="6"/>
      <c r="M25" s="6"/>
      <c r="N25" s="3">
        <f>1-N24</f>
        <v>0</v>
      </c>
      <c r="O25" s="3">
        <f>1-O24</f>
        <v>0</v>
      </c>
      <c r="P25" s="3">
        <f>1-P24</f>
        <v>0</v>
      </c>
      <c r="Q25" s="9"/>
      <c r="R25" s="3">
        <f>1-R24</f>
        <v>0</v>
      </c>
      <c r="S25" s="6"/>
      <c r="T25" s="6"/>
      <c r="U25" s="3">
        <f>1-U24</f>
        <v>0</v>
      </c>
      <c r="V25" s="3">
        <f>1-V24</f>
        <v>0</v>
      </c>
      <c r="W25" s="3">
        <f>1-W24</f>
        <v>0</v>
      </c>
      <c r="X25" s="3">
        <f>1-X24</f>
        <v>0</v>
      </c>
      <c r="Y25" s="3">
        <f>1-Y24</f>
        <v>0</v>
      </c>
      <c r="Z25" s="6"/>
      <c r="AA25" s="6"/>
      <c r="AB25" s="3">
        <f>1-AB24</f>
        <v>0</v>
      </c>
      <c r="AC25" s="3">
        <f>1-AC24</f>
        <v>0</v>
      </c>
      <c r="AD25" s="3">
        <f>1-AD24</f>
        <v>0</v>
      </c>
      <c r="AE25" s="3">
        <f>1-AE24</f>
        <v>0</v>
      </c>
      <c r="AF25" s="3">
        <f>1-AF24</f>
        <v>0</v>
      </c>
      <c r="AG25" s="6"/>
      <c r="AH25" s="3">
        <f t="shared" ref="AH25:AH31" si="0">SUM(C25:AG25)</f>
        <v>0</v>
      </c>
    </row>
    <row r="26" spans="1:35" ht="19.5" x14ac:dyDescent="0.3">
      <c r="A26" s="37"/>
      <c r="B26" s="37"/>
      <c r="C26" s="3"/>
      <c r="D26" s="3"/>
      <c r="E26" s="6"/>
      <c r="F26" s="6"/>
      <c r="G26" s="3"/>
      <c r="H26" s="3"/>
      <c r="I26" s="3"/>
      <c r="J26" s="3"/>
      <c r="K26" s="3"/>
      <c r="L26" s="6"/>
      <c r="M26" s="6"/>
      <c r="N26" s="3"/>
      <c r="O26" s="3"/>
      <c r="P26" s="3"/>
      <c r="Q26" s="9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/>
      <c r="AG26" s="6"/>
      <c r="AH26" s="3">
        <f t="shared" si="0"/>
        <v>0</v>
      </c>
    </row>
    <row r="27" spans="1:35" ht="19.5" x14ac:dyDescent="0.3">
      <c r="A27" s="37"/>
      <c r="B27" s="37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9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9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/>
      <c r="AG28" s="6"/>
      <c r="AH28" s="3">
        <f t="shared" si="0"/>
        <v>0</v>
      </c>
    </row>
    <row r="29" spans="1:35" ht="19.5" x14ac:dyDescent="0.3">
      <c r="A29" s="37" t="s">
        <v>44</v>
      </c>
      <c r="B29" s="37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9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/>
      <c r="AG29" s="6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9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/>
      <c r="AG30" s="6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9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/>
      <c r="AG31" s="6"/>
      <c r="AH31" s="3">
        <f t="shared" si="0"/>
        <v>0</v>
      </c>
    </row>
    <row r="32" spans="1:35" ht="19.5" x14ac:dyDescent="0.3">
      <c r="A32" s="12" t="s">
        <v>47</v>
      </c>
      <c r="B32" s="12"/>
      <c r="C32" s="4">
        <f>SUM(C24:C28)</f>
        <v>1</v>
      </c>
      <c r="D32" s="4">
        <f>SUM(D24:D28)</f>
        <v>1</v>
      </c>
      <c r="E32" s="7"/>
      <c r="F32" s="7"/>
      <c r="G32" s="4">
        <f>SUM(G24:G28)</f>
        <v>1</v>
      </c>
      <c r="H32" s="4">
        <f>SUM(H24:H28)</f>
        <v>1</v>
      </c>
      <c r="I32" s="4">
        <f>SUM(I24:I28)</f>
        <v>1</v>
      </c>
      <c r="J32" s="4">
        <f>SUM(J24:J28)</f>
        <v>1</v>
      </c>
      <c r="K32" s="4">
        <f>SUM(K24:K28)</f>
        <v>1</v>
      </c>
      <c r="L32" s="7"/>
      <c r="M32" s="7"/>
      <c r="N32" s="4">
        <f>SUM(N24:N28)</f>
        <v>1</v>
      </c>
      <c r="O32" s="4">
        <f>SUM(O24:O28)</f>
        <v>1</v>
      </c>
      <c r="P32" s="4">
        <f>SUM(P24:P28)</f>
        <v>1</v>
      </c>
      <c r="Q32" s="10"/>
      <c r="R32" s="4">
        <f>SUM(R24:R28)</f>
        <v>1</v>
      </c>
      <c r="S32" s="7"/>
      <c r="T32" s="7"/>
      <c r="U32" s="4">
        <f>SUM(U24:U28)</f>
        <v>1</v>
      </c>
      <c r="V32" s="4">
        <f>SUM(V24:V28)</f>
        <v>1</v>
      </c>
      <c r="W32" s="4">
        <f>SUM(W24:W28)</f>
        <v>1</v>
      </c>
      <c r="X32" s="4">
        <f>SUM(X24:X28)</f>
        <v>1</v>
      </c>
      <c r="Y32" s="4">
        <f>SUM(Y24:Y28)</f>
        <v>1</v>
      </c>
      <c r="Z32" s="7"/>
      <c r="AA32" s="7"/>
      <c r="AB32" s="4">
        <f>SUM(AB24:AB28)</f>
        <v>1</v>
      </c>
      <c r="AC32" s="4">
        <f>SUM(AC24:AC28)</f>
        <v>1</v>
      </c>
      <c r="AD32" s="4">
        <f>SUM(AD24:AD28)</f>
        <v>1</v>
      </c>
      <c r="AE32" s="4">
        <f>SUM(AE24:AE28)</f>
        <v>1</v>
      </c>
      <c r="AF32" s="4">
        <f>SUM(AF24:AF28)</f>
        <v>1</v>
      </c>
      <c r="AG32" s="7"/>
      <c r="AH32" s="4">
        <f>SUM(AH24:AH28)</f>
        <v>21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21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2024-09-19T10:03:10Z</dcterms:created>
  <dcterms:modified xsi:type="dcterms:W3CDTF">2024-09-19T10:25:58Z</dcterms:modified>
  <cp:category/>
</cp:coreProperties>
</file>