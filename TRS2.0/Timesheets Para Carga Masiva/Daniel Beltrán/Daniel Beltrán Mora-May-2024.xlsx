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DITO-Model Lab\2n Report EDITOModel Lab\PERSONAL\TS\"/>
    </mc:Choice>
  </mc:AlternateContent>
  <xr:revisionPtr revIDLastSave="0" documentId="13_ncr:1_{0ED0AFD7-FAA1-4D2A-8BC8-E5953B9530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G26" i="1"/>
  <c r="AG27" i="1" s="1"/>
  <c r="AF26" i="1"/>
  <c r="AF27" i="1" s="1"/>
  <c r="AE26" i="1"/>
  <c r="AE27" i="1" s="1"/>
  <c r="AD26" i="1"/>
  <c r="AD27" i="1" s="1"/>
  <c r="AD34" i="1" s="1"/>
  <c r="AC26" i="1"/>
  <c r="AC27" i="1" s="1"/>
  <c r="AC34" i="1" s="1"/>
  <c r="Z26" i="1"/>
  <c r="Z27" i="1" s="1"/>
  <c r="Z34" i="1" s="1"/>
  <c r="Y26" i="1"/>
  <c r="X26" i="1"/>
  <c r="W26" i="1"/>
  <c r="W27" i="1" s="1"/>
  <c r="S26" i="1"/>
  <c r="R26" i="1"/>
  <c r="R27" i="1" s="1"/>
  <c r="Q26" i="1"/>
  <c r="Q27" i="1" s="1"/>
  <c r="Q34" i="1" s="1"/>
  <c r="P26" i="1"/>
  <c r="P27" i="1" s="1"/>
  <c r="P34" i="1" s="1"/>
  <c r="O26" i="1"/>
  <c r="O27" i="1" s="1"/>
  <c r="O34" i="1" s="1"/>
  <c r="L26" i="1"/>
  <c r="K26" i="1"/>
  <c r="J26" i="1"/>
  <c r="I26" i="1"/>
  <c r="H26" i="1"/>
  <c r="H27" i="1" s="1"/>
  <c r="E26" i="1"/>
  <c r="E27" i="1" s="1"/>
  <c r="E34" i="1" s="1"/>
  <c r="D26" i="1"/>
  <c r="D27" i="1" s="1"/>
  <c r="AH25" i="1"/>
  <c r="AH24" i="1"/>
  <c r="AH23" i="1"/>
  <c r="AF34" i="1" l="1"/>
  <c r="W34" i="1"/>
  <c r="I27" i="1"/>
  <c r="I34" i="1" s="1"/>
  <c r="K27" i="1"/>
  <c r="K34" i="1" s="1"/>
  <c r="AG34" i="1"/>
  <c r="X27" i="1"/>
  <c r="X34" i="1" s="1"/>
  <c r="S27" i="1"/>
  <c r="S34" i="1" s="1"/>
  <c r="J27" i="1"/>
  <c r="J34" i="1" s="1"/>
  <c r="D34" i="1"/>
  <c r="AH26" i="1"/>
  <c r="L27" i="1"/>
  <c r="L34" i="1" s="1"/>
  <c r="Y27" i="1"/>
  <c r="Y34" i="1" s="1"/>
  <c r="H34" i="1"/>
  <c r="R34" i="1"/>
  <c r="AE34" i="1"/>
  <c r="AH27" i="1" l="1"/>
  <c r="AH34" i="1" s="1"/>
  <c r="P16" i="1"/>
  <c r="X16" i="1" s="1"/>
  <c r="H16" i="1" l="1"/>
  <c r="AH35" i="1"/>
  <c r="AI23" i="1" l="1"/>
  <c r="AI25" i="1"/>
  <c r="AI24" i="1"/>
  <c r="AI26" i="1"/>
</calcChain>
</file>

<file path=xl/sharedStrings.xml><?xml version="1.0" encoding="utf-8"?>
<sst xmlns="http://schemas.openxmlformats.org/spreadsheetml/2006/main" count="82" uniqueCount="57">
  <si>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</si>
  <si>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</si>
  <si>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</si>
  <si>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</si>
  <si>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</si>
  <si>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</si>
  <si>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</si>
  <si>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</si>
  <si>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</si>
  <si>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 Beltrán Mora</t>
  </si>
  <si>
    <t>Re2 (research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</si>
  <si>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</si>
  <si>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</si>
  <si>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</si>
  <si>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</si>
  <si>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</si>
  <si>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</si>
  <si>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</si>
  <si>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</si>
  <si>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</si>
  <si>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</si>
  <si>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</si>
  <si>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</si>
  <si>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</si>
  <si>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</si>
  <si>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</si>
  <si>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</si>
  <si>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</si>
  <si>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</si>
  <si>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</si>
  <si>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</si>
  <si>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</si>
  <si>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</si>
  <si>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</si>
  <si>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</si>
  <si>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</si>
  <si>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</si>
  <si>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</si>
  <si>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</si>
  <si>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</si>
  <si>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PE122300 EDITO-Model Lab - WP5 Virtual Ocean Model Lab</t>
  </si>
  <si>
    <t>Dedicacion: 42% Estimated:66.15 h</t>
  </si>
  <si>
    <t>PE122300 EDITO-Model Lab - WP4 EDITO core model suite</t>
  </si>
  <si>
    <t>Dedicacion: 30% Estimated:47.25 h</t>
  </si>
  <si>
    <t>PE122100 CORSO - WP01 Improved estimates of emission factors/ratios and their uncertainties</t>
  </si>
  <si>
    <t>Dedicacion: 28% Estimated:44.1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</si>
  <si>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</si>
  <si>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</si>
  <si>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</si>
  <si>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</si>
  <si>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</si>
  <si>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</si>
  <si>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</si>
  <si>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</si>
  <si>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</si>
  <si>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2024-06-03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</si>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</sst>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70" zoomScaleNormal="70" workbookViewId="0">
      <selection activeCell="D23" sqref="D23:AG23"/>
    </sheetView>
  </sheetViews>
  <sheetFormatPr baseColWidth="10" defaultColWidth="8.88671875" defaultRowHeight="14.4" x14ac:dyDescent="0.3"/>
  <cols>
    <col min="1" max="2" width="40" customWidth="1"/>
  </cols>
  <sheetData>
    <row r="2" spans="1:34" ht="19.8" x14ac:dyDescent="0.4">
      <c r="C2" s="17" t="s">
        <v>1</v>
      </c>
      <c r="D2" s="17"/>
      <c r="E2" s="17"/>
    </row>
    <row r="4" spans="1:34" ht="19.8" x14ac:dyDescent="0.4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5.8" x14ac:dyDescent="0.5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8" x14ac:dyDescent="0.4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8" x14ac:dyDescent="0.4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8" x14ac:dyDescent="0.4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8" x14ac:dyDescent="0.4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8" x14ac:dyDescent="0.4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8" x14ac:dyDescent="0.4">
      <c r="F16" s="24" t="s">
        <v>17</v>
      </c>
      <c r="G16" s="16"/>
      <c r="H16" s="25">
        <f>AH34</f>
        <v>157.5</v>
      </c>
      <c r="I16" s="25"/>
      <c r="K16" s="24" t="s">
        <v>18</v>
      </c>
      <c r="L16" s="16"/>
      <c r="M16" s="16"/>
      <c r="N16" s="16"/>
      <c r="O16" s="16"/>
      <c r="P16" s="26">
        <f>AH26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5" ht="19.8" x14ac:dyDescent="0.4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8" x14ac:dyDescent="0.4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19.8" x14ac:dyDescent="0.4">
      <c r="A21" s="17" t="s">
        <v>38</v>
      </c>
      <c r="B21" s="17"/>
      <c r="C21" s="27"/>
      <c r="D21" s="28"/>
      <c r="E21" s="28"/>
      <c r="F21" s="29"/>
      <c r="G21" s="29"/>
      <c r="H21" s="28"/>
      <c r="I21" s="28"/>
      <c r="J21" s="28"/>
      <c r="K21" s="28"/>
      <c r="L21" s="28"/>
      <c r="M21" s="29"/>
      <c r="N21" s="29"/>
      <c r="O21" s="28"/>
      <c r="P21" s="28"/>
      <c r="Q21" s="28"/>
      <c r="R21" s="28"/>
      <c r="S21" s="28"/>
      <c r="T21" s="29"/>
      <c r="U21" s="29"/>
      <c r="V21" s="27"/>
      <c r="W21" s="28"/>
      <c r="X21" s="28"/>
      <c r="Y21" s="28"/>
      <c r="Z21" s="28"/>
      <c r="AA21" s="29"/>
      <c r="AB21" s="29"/>
      <c r="AC21" s="28"/>
      <c r="AD21" s="28"/>
      <c r="AE21" s="28"/>
      <c r="AF21" s="28"/>
      <c r="AG21" s="28"/>
      <c r="AH21" s="28"/>
      <c r="AI21" s="33"/>
    </row>
    <row r="22" spans="1:35" ht="19.8" x14ac:dyDescent="0.4">
      <c r="A22" s="34" t="s">
        <v>39</v>
      </c>
      <c r="B22" s="34"/>
      <c r="C22" s="27"/>
      <c r="D22" s="28"/>
      <c r="E22" s="28"/>
      <c r="F22" s="29"/>
      <c r="G22" s="29"/>
      <c r="H22" s="28"/>
      <c r="I22" s="28"/>
      <c r="J22" s="28"/>
      <c r="K22" s="28"/>
      <c r="L22" s="28"/>
      <c r="M22" s="29"/>
      <c r="N22" s="29"/>
      <c r="O22" s="28"/>
      <c r="P22" s="28"/>
      <c r="Q22" s="28"/>
      <c r="R22" s="28"/>
      <c r="S22" s="28"/>
      <c r="T22" s="29"/>
      <c r="U22" s="29"/>
      <c r="V22" s="27"/>
      <c r="W22" s="28"/>
      <c r="X22" s="28"/>
      <c r="Y22" s="28"/>
      <c r="Z22" s="28"/>
      <c r="AA22" s="29"/>
      <c r="AB22" s="29"/>
      <c r="AC22" s="28"/>
      <c r="AD22" s="28"/>
      <c r="AE22" s="28"/>
      <c r="AF22" s="28"/>
      <c r="AG22" s="28"/>
      <c r="AH22" s="28"/>
      <c r="AI22" s="33"/>
    </row>
    <row r="23" spans="1:35" ht="19.8" x14ac:dyDescent="0.4">
      <c r="A23" s="12" t="s">
        <v>40</v>
      </c>
      <c r="B23" s="12" t="s">
        <v>41</v>
      </c>
      <c r="C23" s="6"/>
      <c r="D23" s="3">
        <v>2</v>
      </c>
      <c r="E23" s="3">
        <v>3.5</v>
      </c>
      <c r="F23" s="9"/>
      <c r="G23" s="9"/>
      <c r="H23" s="3">
        <v>2</v>
      </c>
      <c r="I23" s="3">
        <v>5</v>
      </c>
      <c r="J23" s="3">
        <v>2</v>
      </c>
      <c r="K23" s="3">
        <v>5</v>
      </c>
      <c r="L23" s="3">
        <v>1.5</v>
      </c>
      <c r="M23" s="9"/>
      <c r="N23" s="9"/>
      <c r="O23" s="3">
        <v>2</v>
      </c>
      <c r="P23" s="3">
        <v>5</v>
      </c>
      <c r="Q23" s="3">
        <v>2</v>
      </c>
      <c r="R23" s="3">
        <v>5</v>
      </c>
      <c r="S23" s="3">
        <v>1.5</v>
      </c>
      <c r="T23" s="9"/>
      <c r="U23" s="9"/>
      <c r="V23" s="6"/>
      <c r="W23" s="3">
        <v>5</v>
      </c>
      <c r="X23" s="3">
        <v>2</v>
      </c>
      <c r="Y23" s="3">
        <v>5</v>
      </c>
      <c r="Z23" s="3">
        <v>1.5</v>
      </c>
      <c r="AA23" s="9"/>
      <c r="AB23" s="9"/>
      <c r="AC23" s="3">
        <v>2</v>
      </c>
      <c r="AD23" s="3">
        <v>5</v>
      </c>
      <c r="AE23" s="3">
        <v>2</v>
      </c>
      <c r="AF23" s="3">
        <v>5</v>
      </c>
      <c r="AG23" s="3">
        <v>2</v>
      </c>
      <c r="AH23" s="3">
        <f>SUM(C23:AG23)</f>
        <v>66</v>
      </c>
      <c r="AI23" s="13">
        <f>AH23/$AH$35</f>
        <v>0.41904761904761906</v>
      </c>
    </row>
    <row r="24" spans="1:35" ht="19.8" x14ac:dyDescent="0.4">
      <c r="A24" s="12" t="s">
        <v>42</v>
      </c>
      <c r="B24" s="12" t="s">
        <v>43</v>
      </c>
      <c r="C24" s="6"/>
      <c r="D24" s="3">
        <v>2</v>
      </c>
      <c r="E24" s="3">
        <v>2</v>
      </c>
      <c r="F24" s="9"/>
      <c r="G24" s="9"/>
      <c r="H24" s="3">
        <v>2</v>
      </c>
      <c r="I24" s="3">
        <v>2.5</v>
      </c>
      <c r="J24" s="3">
        <v>2</v>
      </c>
      <c r="K24" s="3">
        <v>2.5</v>
      </c>
      <c r="L24" s="3">
        <v>2.5</v>
      </c>
      <c r="M24" s="9"/>
      <c r="N24" s="9"/>
      <c r="O24" s="3">
        <v>2</v>
      </c>
      <c r="P24" s="3">
        <v>2.5</v>
      </c>
      <c r="Q24" s="3">
        <v>2</v>
      </c>
      <c r="R24" s="3">
        <v>2.5</v>
      </c>
      <c r="S24" s="3">
        <v>2.5</v>
      </c>
      <c r="T24" s="9"/>
      <c r="U24" s="9"/>
      <c r="V24" s="6"/>
      <c r="W24" s="3">
        <v>2.5</v>
      </c>
      <c r="X24" s="3">
        <v>2</v>
      </c>
      <c r="Y24" s="3">
        <v>2.5</v>
      </c>
      <c r="Z24" s="3">
        <v>2.5</v>
      </c>
      <c r="AA24" s="9"/>
      <c r="AB24" s="9"/>
      <c r="AC24" s="3">
        <v>2</v>
      </c>
      <c r="AD24" s="3">
        <v>2.5</v>
      </c>
      <c r="AE24" s="3">
        <v>2</v>
      </c>
      <c r="AF24" s="3">
        <v>2.5</v>
      </c>
      <c r="AG24" s="3">
        <v>2</v>
      </c>
      <c r="AH24" s="3">
        <f>SUM(C24:AG24)</f>
        <v>47.5</v>
      </c>
      <c r="AI24" s="13">
        <f>AH24/$AH$35</f>
        <v>0.30158730158730157</v>
      </c>
    </row>
    <row r="25" spans="1:35" ht="19.8" x14ac:dyDescent="0.4">
      <c r="A25" s="12" t="s">
        <v>44</v>
      </c>
      <c r="B25" s="12" t="s">
        <v>45</v>
      </c>
      <c r="C25" s="6"/>
      <c r="D25" s="3">
        <v>3.5</v>
      </c>
      <c r="E25" s="3">
        <v>2</v>
      </c>
      <c r="F25" s="9"/>
      <c r="G25" s="9"/>
      <c r="H25" s="3">
        <v>3.5</v>
      </c>
      <c r="I25" s="3"/>
      <c r="J25" s="3">
        <v>3.5</v>
      </c>
      <c r="K25" s="3"/>
      <c r="L25" s="3">
        <v>3.5</v>
      </c>
      <c r="M25" s="9"/>
      <c r="N25" s="9"/>
      <c r="O25" s="3">
        <v>3.5</v>
      </c>
      <c r="P25" s="3"/>
      <c r="Q25" s="3">
        <v>3.5</v>
      </c>
      <c r="R25" s="3"/>
      <c r="S25" s="3">
        <v>3.5</v>
      </c>
      <c r="T25" s="9"/>
      <c r="U25" s="9"/>
      <c r="V25" s="6"/>
      <c r="W25" s="3"/>
      <c r="X25" s="3">
        <v>3.5</v>
      </c>
      <c r="Y25" s="3"/>
      <c r="Z25" s="3">
        <v>3.5</v>
      </c>
      <c r="AA25" s="9"/>
      <c r="AB25" s="9"/>
      <c r="AC25" s="3">
        <v>3.5</v>
      </c>
      <c r="AD25" s="3"/>
      <c r="AE25" s="3">
        <v>3.5</v>
      </c>
      <c r="AF25" s="3"/>
      <c r="AG25" s="3">
        <v>3.5</v>
      </c>
      <c r="AH25" s="3">
        <f>SUM(C25:AG25)</f>
        <v>44</v>
      </c>
      <c r="AI25" s="13">
        <f>AH25/$AH$35</f>
        <v>0.27936507936507937</v>
      </c>
    </row>
    <row r="26" spans="1:35" ht="19.8" x14ac:dyDescent="0.4">
      <c r="A26" s="35" t="s">
        <v>46</v>
      </c>
      <c r="B26" s="36"/>
      <c r="C26" s="7"/>
      <c r="D26" s="4">
        <f>SUM(D23:D25)</f>
        <v>7.5</v>
      </c>
      <c r="E26" s="4">
        <f>SUM(E23:E25)</f>
        <v>7.5</v>
      </c>
      <c r="F26" s="10"/>
      <c r="G26" s="10"/>
      <c r="H26" s="4">
        <f>SUM(H23:H25)</f>
        <v>7.5</v>
      </c>
      <c r="I26" s="4">
        <f>SUM(I23:I25)</f>
        <v>7.5</v>
      </c>
      <c r="J26" s="4">
        <f>SUM(J23:J25)</f>
        <v>7.5</v>
      </c>
      <c r="K26" s="4">
        <f>SUM(K23:K25)</f>
        <v>7.5</v>
      </c>
      <c r="L26" s="4">
        <f>SUM(L23:L25)</f>
        <v>7.5</v>
      </c>
      <c r="M26" s="10"/>
      <c r="N26" s="10"/>
      <c r="O26" s="4">
        <f>SUM(O23:O25)</f>
        <v>7.5</v>
      </c>
      <c r="P26" s="4">
        <f>SUM(P23:P25)</f>
        <v>7.5</v>
      </c>
      <c r="Q26" s="4">
        <f>SUM(Q23:Q25)</f>
        <v>7.5</v>
      </c>
      <c r="R26" s="4">
        <f>SUM(R23:R25)</f>
        <v>7.5</v>
      </c>
      <c r="S26" s="4">
        <f>SUM(S23:S25)</f>
        <v>7.5</v>
      </c>
      <c r="T26" s="10"/>
      <c r="U26" s="10"/>
      <c r="V26" s="7"/>
      <c r="W26" s="4">
        <f>SUM(W23:W25)</f>
        <v>7.5</v>
      </c>
      <c r="X26" s="4">
        <f>SUM(X23:X25)</f>
        <v>7.5</v>
      </c>
      <c r="Y26" s="4">
        <f>SUM(Y23:Y25)</f>
        <v>7.5</v>
      </c>
      <c r="Z26" s="4">
        <f>SUM(Z23:Z25)</f>
        <v>7.5</v>
      </c>
      <c r="AA26" s="10"/>
      <c r="AB26" s="10"/>
      <c r="AC26" s="4">
        <f t="shared" ref="AC26:AH26" si="0">SUM(AC23:AC25)</f>
        <v>7.5</v>
      </c>
      <c r="AD26" s="4">
        <f t="shared" si="0"/>
        <v>7.5</v>
      </c>
      <c r="AE26" s="4">
        <f t="shared" si="0"/>
        <v>7.5</v>
      </c>
      <c r="AF26" s="4">
        <f t="shared" si="0"/>
        <v>7.5</v>
      </c>
      <c r="AG26" s="4">
        <f t="shared" si="0"/>
        <v>7.5</v>
      </c>
      <c r="AH26" s="4">
        <f t="shared" si="0"/>
        <v>157.5</v>
      </c>
      <c r="AI26" s="11">
        <f>AH26/$AH$35</f>
        <v>1</v>
      </c>
    </row>
    <row r="27" spans="1:35" ht="19.8" x14ac:dyDescent="0.4">
      <c r="A27" s="37" t="s">
        <v>47</v>
      </c>
      <c r="B27" s="37"/>
      <c r="C27" s="6"/>
      <c r="D27" s="3">
        <f>7.5-D26</f>
        <v>0</v>
      </c>
      <c r="E27" s="3">
        <f>7.5-E26</f>
        <v>0</v>
      </c>
      <c r="F27" s="9"/>
      <c r="G27" s="9"/>
      <c r="H27" s="3">
        <f>7.5-H26</f>
        <v>0</v>
      </c>
      <c r="I27" s="3">
        <f>7.5-I26</f>
        <v>0</v>
      </c>
      <c r="J27" s="3">
        <f>7.5-J26</f>
        <v>0</v>
      </c>
      <c r="K27" s="3">
        <f>7.5-K26</f>
        <v>0</v>
      </c>
      <c r="L27" s="3">
        <f>7.5-L26</f>
        <v>0</v>
      </c>
      <c r="M27" s="9"/>
      <c r="N27" s="9"/>
      <c r="O27" s="3">
        <f>7.5-O26</f>
        <v>0</v>
      </c>
      <c r="P27" s="3">
        <f>7.5-P26</f>
        <v>0</v>
      </c>
      <c r="Q27" s="3">
        <f>7.5-Q26</f>
        <v>0</v>
      </c>
      <c r="R27" s="3">
        <f>7.5-R26</f>
        <v>0</v>
      </c>
      <c r="S27" s="3">
        <f>7.5-S26</f>
        <v>0</v>
      </c>
      <c r="T27" s="9"/>
      <c r="U27" s="9"/>
      <c r="V27" s="6"/>
      <c r="W27" s="3">
        <f>7.5-W26</f>
        <v>0</v>
      </c>
      <c r="X27" s="3">
        <f>7.5-X26</f>
        <v>0</v>
      </c>
      <c r="Y27" s="3">
        <f>7.5-Y26</f>
        <v>0</v>
      </c>
      <c r="Z27" s="3">
        <f>7.5-Z26</f>
        <v>0</v>
      </c>
      <c r="AA27" s="9"/>
      <c r="AB27" s="9"/>
      <c r="AC27" s="3">
        <f>7.5-AC26</f>
        <v>0</v>
      </c>
      <c r="AD27" s="3">
        <f>7.5-AD26</f>
        <v>0</v>
      </c>
      <c r="AE27" s="3">
        <f>7.5-AE26</f>
        <v>0</v>
      </c>
      <c r="AF27" s="3">
        <f>7.5-AF26</f>
        <v>0</v>
      </c>
      <c r="AG27" s="3">
        <f>7.5-AG26</f>
        <v>0</v>
      </c>
      <c r="AH27" s="3">
        <f t="shared" ref="AH27:AH33" si="1">SUM(C27:AG27)</f>
        <v>0</v>
      </c>
    </row>
    <row r="28" spans="1:35" ht="19.8" x14ac:dyDescent="0.4">
      <c r="A28" s="37"/>
      <c r="B28" s="37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6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/>
      <c r="AH28" s="3">
        <f t="shared" si="1"/>
        <v>0</v>
      </c>
    </row>
    <row r="29" spans="1:35" ht="19.8" x14ac:dyDescent="0.4">
      <c r="A29" s="37"/>
      <c r="B29" s="37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6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/>
      <c r="AH29" s="3">
        <f t="shared" si="1"/>
        <v>0</v>
      </c>
    </row>
    <row r="30" spans="1:35" ht="19.8" x14ac:dyDescent="0.4">
      <c r="A30" s="37"/>
      <c r="B30" s="37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6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/>
      <c r="AH30" s="3">
        <f t="shared" si="1"/>
        <v>0</v>
      </c>
    </row>
    <row r="31" spans="1:35" ht="19.8" x14ac:dyDescent="0.4">
      <c r="A31" s="37" t="s">
        <v>48</v>
      </c>
      <c r="B31" s="37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6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/>
      <c r="AH31" s="3">
        <f t="shared" si="1"/>
        <v>0</v>
      </c>
    </row>
    <row r="32" spans="1:35" ht="19.8" x14ac:dyDescent="0.4">
      <c r="A32" s="37" t="s">
        <v>49</v>
      </c>
      <c r="B32" s="37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6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/>
      <c r="AH32" s="3">
        <f t="shared" si="1"/>
        <v>0</v>
      </c>
    </row>
    <row r="33" spans="1:34" ht="19.8" x14ac:dyDescent="0.4">
      <c r="A33" s="37" t="s">
        <v>50</v>
      </c>
      <c r="B33" s="37"/>
      <c r="C33" s="6"/>
      <c r="D33" s="3"/>
      <c r="E33" s="3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6"/>
      <c r="W33" s="3"/>
      <c r="X33" s="3"/>
      <c r="Y33" s="3"/>
      <c r="Z33" s="3"/>
      <c r="AA33" s="9"/>
      <c r="AB33" s="9"/>
      <c r="AC33" s="3"/>
      <c r="AD33" s="3"/>
      <c r="AE33" s="3"/>
      <c r="AF33" s="3"/>
      <c r="AG33" s="3"/>
      <c r="AH33" s="3">
        <f t="shared" si="1"/>
        <v>0</v>
      </c>
    </row>
    <row r="34" spans="1:34" ht="19.8" x14ac:dyDescent="0.4">
      <c r="A34" s="12" t="s">
        <v>51</v>
      </c>
      <c r="B34" s="12"/>
      <c r="C34" s="7"/>
      <c r="D34" s="4">
        <f>SUM(D26:D30)</f>
        <v>7.5</v>
      </c>
      <c r="E34" s="4">
        <f>SUM(E26:E30)</f>
        <v>7.5</v>
      </c>
      <c r="F34" s="10"/>
      <c r="G34" s="10"/>
      <c r="H34" s="4">
        <f>SUM(H26:H30)</f>
        <v>7.5</v>
      </c>
      <c r="I34" s="4">
        <f>SUM(I26:I30)</f>
        <v>7.5</v>
      </c>
      <c r="J34" s="4">
        <f>SUM(J26:J30)</f>
        <v>7.5</v>
      </c>
      <c r="K34" s="4">
        <f>SUM(K26:K30)</f>
        <v>7.5</v>
      </c>
      <c r="L34" s="4">
        <f>SUM(L26:L30)</f>
        <v>7.5</v>
      </c>
      <c r="M34" s="10"/>
      <c r="N34" s="10"/>
      <c r="O34" s="4">
        <f>SUM(O26:O30)</f>
        <v>7.5</v>
      </c>
      <c r="P34" s="4">
        <f>SUM(P26:P30)</f>
        <v>7.5</v>
      </c>
      <c r="Q34" s="4">
        <f>SUM(Q26:Q30)</f>
        <v>7.5</v>
      </c>
      <c r="R34" s="4">
        <f>SUM(R26:R30)</f>
        <v>7.5</v>
      </c>
      <c r="S34" s="4">
        <f>SUM(S26:S30)</f>
        <v>7.5</v>
      </c>
      <c r="T34" s="10"/>
      <c r="U34" s="10"/>
      <c r="V34" s="7"/>
      <c r="W34" s="4">
        <f>SUM(W26:W30)</f>
        <v>7.5</v>
      </c>
      <c r="X34" s="4">
        <f>SUM(X26:X30)</f>
        <v>7.5</v>
      </c>
      <c r="Y34" s="4">
        <f>SUM(Y26:Y30)</f>
        <v>7.5</v>
      </c>
      <c r="Z34" s="4">
        <f>SUM(Z26:Z30)</f>
        <v>7.5</v>
      </c>
      <c r="AA34" s="10"/>
      <c r="AB34" s="10"/>
      <c r="AC34" s="4">
        <f t="shared" ref="AC34:AH34" si="2">SUM(AC26:AC30)</f>
        <v>7.5</v>
      </c>
      <c r="AD34" s="4">
        <f t="shared" si="2"/>
        <v>7.5</v>
      </c>
      <c r="AE34" s="4">
        <f t="shared" si="2"/>
        <v>7.5</v>
      </c>
      <c r="AF34" s="4">
        <f t="shared" si="2"/>
        <v>7.5</v>
      </c>
      <c r="AG34" s="4">
        <f t="shared" si="2"/>
        <v>7.5</v>
      </c>
      <c r="AH34" s="4">
        <f t="shared" si="2"/>
        <v>157.5</v>
      </c>
    </row>
    <row r="35" spans="1:34" ht="19.8" x14ac:dyDescent="0.4">
      <c r="A35" s="12" t="s">
        <v>52</v>
      </c>
      <c r="B35" s="12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2">
        <f>SUM(AH31:AH34)</f>
        <v>157.5</v>
      </c>
    </row>
    <row r="38" spans="1:34" x14ac:dyDescent="0.3">
      <c r="A38" s="31" t="s">
        <v>53</v>
      </c>
      <c r="B38" s="31" t="s">
        <v>54</v>
      </c>
      <c r="W38" s="39" t="s">
        <v>56</v>
      </c>
      <c r="X38" s="40"/>
      <c r="Y38" s="40"/>
      <c r="Z38" s="40"/>
      <c r="AA38" s="41"/>
      <c r="AB38" s="39" t="s">
        <v>9</v>
      </c>
      <c r="AC38" s="40"/>
      <c r="AD38" s="40"/>
      <c r="AE38" s="41"/>
    </row>
    <row r="39" spans="1:34" x14ac:dyDescent="0.3">
      <c r="A39" s="38"/>
      <c r="B39" s="38"/>
      <c r="W39" s="42"/>
      <c r="X39" s="43"/>
      <c r="Y39" s="43"/>
      <c r="Z39" s="43"/>
      <c r="AA39" s="44"/>
      <c r="AB39" s="42"/>
      <c r="AC39" s="43"/>
      <c r="AD39" s="43"/>
      <c r="AE39" s="44"/>
    </row>
    <row r="40" spans="1:34" ht="19.8" x14ac:dyDescent="0.3">
      <c r="A40" s="32"/>
      <c r="B40" s="14" t="s">
        <v>55</v>
      </c>
      <c r="W40" s="45"/>
      <c r="X40" s="46"/>
      <c r="Y40" s="46"/>
      <c r="Z40" s="46"/>
      <c r="AA40" s="47"/>
      <c r="AB40" s="48"/>
      <c r="AC40" s="46"/>
      <c r="AD40" s="46"/>
      <c r="AE40" s="47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2024-10-01T13:47:49Z</dcterms:created>
  <dcterms:modified xsi:type="dcterms:W3CDTF">2024-10-01T15:32:10Z</dcterms:modified>
  <cp:category/>
</cp:coreProperties>
</file>