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calcChain.xml><?xml version="1.0" encoding="utf-8"?>
<calcChain xmlns="http://schemas.openxmlformats.org/spreadsheetml/2006/main">
  <c r="AH25" i="1" l="1"/>
  <c r="AH33" i="1"/>
  <c r="AH32" i="1"/>
  <c r="AH31" i="1"/>
  <c r="AH30" i="1"/>
  <c r="AH29" i="1"/>
  <c r="AH28" i="1"/>
  <c r="AD27" i="1"/>
  <c r="O27" i="1"/>
  <c r="J27" i="1"/>
  <c r="AD26" i="1"/>
  <c r="AC26" i="1"/>
  <c r="AC27" i="1" s="1"/>
  <c r="AB26" i="1"/>
  <c r="AB27" i="1" s="1"/>
  <c r="AA26" i="1"/>
  <c r="X26" i="1"/>
  <c r="W26" i="1"/>
  <c r="V26" i="1"/>
  <c r="U26" i="1"/>
  <c r="T26" i="1"/>
  <c r="Q26" i="1"/>
  <c r="Q27" i="1" s="1"/>
  <c r="P26" i="1"/>
  <c r="P27" i="1" s="1"/>
  <c r="O26" i="1"/>
  <c r="O34" i="1" s="1"/>
  <c r="N26" i="1"/>
  <c r="M26" i="1"/>
  <c r="J26" i="1"/>
  <c r="J34" i="1" s="1"/>
  <c r="I26" i="1"/>
  <c r="H26" i="1"/>
  <c r="G26" i="1"/>
  <c r="G27" i="1" s="1"/>
  <c r="F26" i="1"/>
  <c r="F27" i="1" s="1"/>
  <c r="C26" i="1"/>
  <c r="C27" i="1" s="1"/>
  <c r="AH24" i="1"/>
  <c r="AH23" i="1"/>
  <c r="AD34" i="1" l="1"/>
  <c r="AA27" i="1"/>
  <c r="AA34" i="1" s="1"/>
  <c r="V27" i="1"/>
  <c r="V34" i="1" s="1"/>
  <c r="U27" i="1"/>
  <c r="U34" i="1" s="1"/>
  <c r="T34" i="1"/>
  <c r="T27" i="1"/>
  <c r="H27" i="1"/>
  <c r="H34" i="1" s="1"/>
  <c r="C34" i="1"/>
  <c r="I27" i="1"/>
  <c r="I34" i="1" s="1"/>
  <c r="F34" i="1"/>
  <c r="G34" i="1"/>
  <c r="AC34" i="1"/>
  <c r="AH26" i="1"/>
  <c r="M27" i="1"/>
  <c r="W27" i="1"/>
  <c r="W34" i="1" s="1"/>
  <c r="P34" i="1"/>
  <c r="AB34" i="1"/>
  <c r="Q34" i="1"/>
  <c r="N27" i="1"/>
  <c r="N34" i="1" s="1"/>
  <c r="X27" i="1"/>
  <c r="X34" i="1" s="1"/>
  <c r="AH27" i="1" l="1"/>
  <c r="AH34" i="1" s="1"/>
  <c r="P16" i="1"/>
  <c r="X16" i="1" s="1"/>
  <c r="M34" i="1"/>
  <c r="AH35" i="1" l="1"/>
  <c r="H16" i="1"/>
  <c r="AI24" i="1" l="1"/>
  <c r="AI23" i="1"/>
  <c r="AI25" i="1"/>
  <c r="AI26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<sst xmlns="http://schemas.openxmlformats.org/spreadsheetml/2006/main" count="83" uniqueCount="57">
  <si>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</si>
  <si>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</si>
  <si>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</si>
  <si>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</si>
  <si>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</si>
  <si>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</si>
  <si>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</si>
  <si>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</si>
  <si>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</si>
  <si>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</si>
  <si>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</si>
  <si>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</si>
  <si>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</si>
  <si>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</si>
  <si>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</si>
  <si>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</si>
  <si>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</si>
  <si>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</si>
  <si>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</si>
  <si>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</si>
  <si>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</si>
  <si>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</si>
  <si>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</si>
  <si>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</si>
  <si>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</si>
  <si>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</si>
  <si>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</si>
  <si>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</si>
  <si>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</si>
  <si>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</si>
  <si>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</si>
  <si>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</si>
  <si>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</si>
  <si>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</si>
  <si>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</si>
  <si>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</si>
  <si>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</si>
  <si>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</si>
  <si>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</si>
  <si>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</si>
  <si>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WP2 HPC digital ecosystem and extended enterprise context</t>
  </si>
  <si>
    <t>Dedicacion: 80% Estimated:120 h</t>
  </si>
  <si>
    <t>PE103600 CAELESTIS - WP5 Generative structural design based on processproperty relationships</t>
  </si>
  <si>
    <t>Dedicacion: 10% Estimated:15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</si>
  <si>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</si>
  <si>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</si>
  <si>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</si>
  <si>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</si>
  <si>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</si>
  <si>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</si>
  <si>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</si>
  <si>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</si>
  <si>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</si>
  <si>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Jorge Ejarque Artigas</t>
  </si>
  <si>
    <t>2024-04-08</t>
  </si>
  <si>
    <t xml:space="preserve">Date and signature of staff member:	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</si>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</sst>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40"/>
  <sheetViews>
    <sheetView tabSelected="1" topLeftCell="D1" zoomScale="90" zoomScaleNormal="90" workbookViewId="0">
      <selection activeCell="AE23" sqref="AE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AH34</f>
        <v>150</v>
      </c>
      <c r="I16" s="25"/>
      <c r="K16" s="24" t="s">
        <v>18</v>
      </c>
      <c r="L16" s="16"/>
      <c r="M16" s="16"/>
      <c r="N16" s="16"/>
      <c r="O16" s="16"/>
      <c r="P16" s="26">
        <f>AH26</f>
        <v>150</v>
      </c>
      <c r="Q16" s="26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7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7"/>
      <c r="AB21" s="27"/>
      <c r="AC21" s="27"/>
      <c r="AD21" s="27"/>
      <c r="AE21" s="29"/>
      <c r="AF21" s="28"/>
      <c r="AG21" s="28"/>
      <c r="AH21" s="27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7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7"/>
      <c r="AB22" s="27"/>
      <c r="AC22" s="27"/>
      <c r="AD22" s="27"/>
      <c r="AE22" s="29"/>
      <c r="AF22" s="28"/>
      <c r="AG22" s="28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6.5</v>
      </c>
      <c r="D23" s="6"/>
      <c r="E23" s="6"/>
      <c r="F23" s="3">
        <v>5.5</v>
      </c>
      <c r="G23" s="3">
        <v>5.5</v>
      </c>
      <c r="H23" s="3">
        <v>6.5</v>
      </c>
      <c r="I23" s="3">
        <v>4.5</v>
      </c>
      <c r="J23" s="3">
        <v>7</v>
      </c>
      <c r="K23" s="6"/>
      <c r="L23" s="6"/>
      <c r="M23" s="3">
        <v>7.5</v>
      </c>
      <c r="N23" s="3">
        <v>5.5</v>
      </c>
      <c r="O23" s="3">
        <v>5.5</v>
      </c>
      <c r="P23" s="3">
        <v>4</v>
      </c>
      <c r="Q23" s="3">
        <v>6.5</v>
      </c>
      <c r="R23" s="6"/>
      <c r="S23" s="6"/>
      <c r="T23" s="3">
        <v>6.5</v>
      </c>
      <c r="U23" s="3">
        <v>7</v>
      </c>
      <c r="V23" s="3">
        <v>5.5</v>
      </c>
      <c r="W23" s="3">
        <v>6</v>
      </c>
      <c r="X23" s="3">
        <v>7.5</v>
      </c>
      <c r="Y23" s="6"/>
      <c r="Z23" s="6"/>
      <c r="AA23" s="3">
        <v>5.5</v>
      </c>
      <c r="AB23" s="3">
        <v>6</v>
      </c>
      <c r="AC23" s="3">
        <v>5</v>
      </c>
      <c r="AD23" s="3">
        <v>7</v>
      </c>
      <c r="AE23" s="9"/>
      <c r="AF23" s="6"/>
      <c r="AG23" s="6"/>
      <c r="AH23" s="3">
        <f>SUM(C23:AG23)</f>
        <v>120.5</v>
      </c>
      <c r="AI23" s="13">
        <f>AH23/$AH$35</f>
        <v>0.80333333333333334</v>
      </c>
    </row>
    <row r="24" spans="1:35" ht="19.5" x14ac:dyDescent="0.3">
      <c r="A24" s="12" t="s">
        <v>42</v>
      </c>
      <c r="B24" s="12" t="s">
        <v>43</v>
      </c>
      <c r="C24" s="3"/>
      <c r="D24" s="6"/>
      <c r="E24" s="6"/>
      <c r="F24" s="3">
        <v>1.5</v>
      </c>
      <c r="G24" s="3">
        <v>1.5</v>
      </c>
      <c r="H24" s="3"/>
      <c r="I24" s="3">
        <v>3</v>
      </c>
      <c r="J24" s="3"/>
      <c r="K24" s="6"/>
      <c r="L24" s="6"/>
      <c r="M24" s="3"/>
      <c r="N24" s="3">
        <v>2</v>
      </c>
      <c r="O24" s="3"/>
      <c r="P24" s="3">
        <v>3</v>
      </c>
      <c r="Q24" s="3"/>
      <c r="R24" s="6"/>
      <c r="S24" s="6"/>
      <c r="T24" s="3"/>
      <c r="U24" s="3"/>
      <c r="V24" s="3">
        <v>2</v>
      </c>
      <c r="W24" s="3"/>
      <c r="X24" s="3"/>
      <c r="Y24" s="6"/>
      <c r="Z24" s="6"/>
      <c r="AA24" s="3"/>
      <c r="AB24" s="3"/>
      <c r="AC24" s="3">
        <v>2</v>
      </c>
      <c r="AD24" s="3"/>
      <c r="AE24" s="9"/>
      <c r="AF24" s="6"/>
      <c r="AG24" s="6"/>
      <c r="AH24" s="3">
        <f>SUM(C24:AG24)</f>
        <v>15</v>
      </c>
      <c r="AI24" s="13">
        <f>AH24/$AH$35</f>
        <v>0.1</v>
      </c>
    </row>
    <row r="25" spans="1:35" ht="19.5" x14ac:dyDescent="0.3">
      <c r="A25" s="12" t="s">
        <v>44</v>
      </c>
      <c r="B25" s="12" t="s">
        <v>43</v>
      </c>
      <c r="C25" s="3">
        <v>1</v>
      </c>
      <c r="D25" s="6"/>
      <c r="E25" s="6"/>
      <c r="F25" s="3">
        <v>0.5</v>
      </c>
      <c r="G25" s="3">
        <v>0.5</v>
      </c>
      <c r="H25" s="3">
        <v>1</v>
      </c>
      <c r="I25" s="3"/>
      <c r="J25" s="3">
        <v>0.5</v>
      </c>
      <c r="K25" s="6"/>
      <c r="L25" s="6"/>
      <c r="M25" s="3" t="s">
        <v>56</v>
      </c>
      <c r="N25" s="3"/>
      <c r="O25" s="3">
        <v>2</v>
      </c>
      <c r="P25" s="3">
        <v>0.5</v>
      </c>
      <c r="Q25" s="3">
        <v>1</v>
      </c>
      <c r="R25" s="6"/>
      <c r="S25" s="6"/>
      <c r="T25" s="3">
        <v>1</v>
      </c>
      <c r="U25" s="3">
        <v>0.5</v>
      </c>
      <c r="V25" s="3"/>
      <c r="W25" s="3">
        <v>1.5</v>
      </c>
      <c r="X25" s="3"/>
      <c r="Y25" s="6"/>
      <c r="Z25" s="6"/>
      <c r="AA25" s="3">
        <v>2</v>
      </c>
      <c r="AB25" s="3">
        <v>1.5</v>
      </c>
      <c r="AC25" s="3">
        <v>0.5</v>
      </c>
      <c r="AD25" s="3">
        <v>0.5</v>
      </c>
      <c r="AE25" s="9"/>
      <c r="AF25" s="6"/>
      <c r="AG25" s="6"/>
      <c r="AH25" s="3">
        <f>SUM(C25:AG25)</f>
        <v>14.5</v>
      </c>
      <c r="AI25" s="13">
        <f>AH25/$AH$35</f>
        <v>9.6666666666666665E-2</v>
      </c>
    </row>
    <row r="26" spans="1:35" ht="19.5" x14ac:dyDescent="0.3">
      <c r="A26" s="35" t="s">
        <v>45</v>
      </c>
      <c r="B26" s="36"/>
      <c r="C26" s="4">
        <f>SUM(C23:C25)</f>
        <v>7.5</v>
      </c>
      <c r="D26" s="7"/>
      <c r="E26" s="7"/>
      <c r="F26" s="4">
        <f>SUM(F23:F25)</f>
        <v>7.5</v>
      </c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7"/>
      <c r="L26" s="7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7"/>
      <c r="S26" s="7"/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7"/>
      <c r="Z26" s="7"/>
      <c r="AA26" s="4">
        <f>SUM(AA23:AA25)</f>
        <v>7.5</v>
      </c>
      <c r="AB26" s="4">
        <f>SUM(AB23:AB25)</f>
        <v>7.5</v>
      </c>
      <c r="AC26" s="4">
        <f>SUM(AC23:AC25)</f>
        <v>7.5</v>
      </c>
      <c r="AD26" s="4">
        <f>SUM(AD23:AD25)</f>
        <v>7.5</v>
      </c>
      <c r="AE26" s="10"/>
      <c r="AF26" s="7"/>
      <c r="AG26" s="7"/>
      <c r="AH26" s="4">
        <f>SUM(AH23:AH25)</f>
        <v>150</v>
      </c>
      <c r="AI26" s="11">
        <f>AH26/$AH$35</f>
        <v>1</v>
      </c>
    </row>
    <row r="27" spans="1:35" ht="19.5" x14ac:dyDescent="0.3">
      <c r="A27" s="37" t="s">
        <v>46</v>
      </c>
      <c r="B27" s="37"/>
      <c r="C27" s="3">
        <f>7.5-C26</f>
        <v>0</v>
      </c>
      <c r="D27" s="6"/>
      <c r="E27" s="6"/>
      <c r="F27" s="3">
        <f>7.5-F26</f>
        <v>0</v>
      </c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6"/>
      <c r="L27" s="6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6"/>
      <c r="S27" s="6"/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6"/>
      <c r="Z27" s="6"/>
      <c r="AA27" s="3">
        <f>7.5-AA26</f>
        <v>0</v>
      </c>
      <c r="AB27" s="3">
        <f>7.5-AB26</f>
        <v>0</v>
      </c>
      <c r="AC27" s="3">
        <f>7.5-AC26</f>
        <v>0</v>
      </c>
      <c r="AD27" s="3">
        <f>7.5-AD26</f>
        <v>0</v>
      </c>
      <c r="AE27" s="9"/>
      <c r="AF27" s="6"/>
      <c r="AG27" s="6"/>
      <c r="AH27" s="3">
        <f t="shared" ref="AH27:AH33" si="0">SUM(C27:AG27)</f>
        <v>0</v>
      </c>
    </row>
    <row r="28" spans="1:35" ht="19.5" x14ac:dyDescent="0.3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9"/>
      <c r="AF28" s="6"/>
      <c r="AG28" s="6"/>
      <c r="AH28" s="3">
        <f t="shared" si="0"/>
        <v>0</v>
      </c>
    </row>
    <row r="29" spans="1:35" ht="19.5" x14ac:dyDescent="0.3">
      <c r="A29" s="37"/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9"/>
      <c r="AF29" s="6"/>
      <c r="AG29" s="6"/>
      <c r="AH29" s="3">
        <f t="shared" si="0"/>
        <v>0</v>
      </c>
    </row>
    <row r="30" spans="1:35" ht="19.5" x14ac:dyDescent="0.3">
      <c r="A30" s="37"/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0"/>
        <v>0</v>
      </c>
    </row>
    <row r="31" spans="1:35" ht="19.5" x14ac:dyDescent="0.3">
      <c r="A31" s="37" t="s">
        <v>47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0"/>
        <v>0</v>
      </c>
    </row>
    <row r="32" spans="1:35" ht="19.5" x14ac:dyDescent="0.3">
      <c r="A32" s="37" t="s">
        <v>48</v>
      </c>
      <c r="B32" s="37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9"/>
      <c r="AF32" s="6"/>
      <c r="AG32" s="6"/>
      <c r="AH32" s="3">
        <f t="shared" si="0"/>
        <v>0</v>
      </c>
    </row>
    <row r="33" spans="1:34" ht="19.5" x14ac:dyDescent="0.3">
      <c r="A33" s="37" t="s">
        <v>49</v>
      </c>
      <c r="B33" s="37"/>
      <c r="C33" s="3"/>
      <c r="D33" s="6"/>
      <c r="E33" s="6"/>
      <c r="F33" s="3"/>
      <c r="G33" s="3"/>
      <c r="H33" s="3"/>
      <c r="I33" s="3"/>
      <c r="J33" s="3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3"/>
      <c r="AB33" s="3"/>
      <c r="AC33" s="3"/>
      <c r="AD33" s="3"/>
      <c r="AE33" s="9"/>
      <c r="AF33" s="6"/>
      <c r="AG33" s="6"/>
      <c r="AH33" s="3">
        <f t="shared" si="0"/>
        <v>0</v>
      </c>
    </row>
    <row r="34" spans="1:34" ht="19.5" x14ac:dyDescent="0.3">
      <c r="A34" s="12" t="s">
        <v>50</v>
      </c>
      <c r="B34" s="12"/>
      <c r="C34" s="4">
        <f>SUM(C26:C30)</f>
        <v>7.5</v>
      </c>
      <c r="D34" s="7"/>
      <c r="E34" s="7"/>
      <c r="F34" s="4">
        <f>SUM(F26:F30)</f>
        <v>7.5</v>
      </c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7"/>
      <c r="L34" s="7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7"/>
      <c r="S34" s="7"/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7"/>
      <c r="Z34" s="7"/>
      <c r="AA34" s="4">
        <f>SUM(AA26:AA30)</f>
        <v>7.5</v>
      </c>
      <c r="AB34" s="4">
        <f>SUM(AB26:AB30)</f>
        <v>7.5</v>
      </c>
      <c r="AC34" s="4">
        <f>SUM(AC26:AC30)</f>
        <v>7.5</v>
      </c>
      <c r="AD34" s="4">
        <f>SUM(AD26:AD30)</f>
        <v>7.5</v>
      </c>
      <c r="AE34" s="10"/>
      <c r="AF34" s="7"/>
      <c r="AG34" s="7"/>
      <c r="AH34" s="4">
        <f>SUM(AH26:AH30)</f>
        <v>150</v>
      </c>
    </row>
    <row r="35" spans="1:34" ht="19.5" x14ac:dyDescent="0.3">
      <c r="A35" s="12" t="s">
        <v>51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">
        <f>SUM(AH31:AH34)</f>
        <v>150</v>
      </c>
    </row>
    <row r="38" spans="1:34" x14ac:dyDescent="0.25">
      <c r="A38" s="31" t="s">
        <v>52</v>
      </c>
      <c r="B38" s="31" t="s">
        <v>53</v>
      </c>
      <c r="W38" s="39" t="s">
        <v>55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4" x14ac:dyDescent="0.25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4" ht="19.5" x14ac:dyDescent="0.25">
      <c r="A40" s="32"/>
      <c r="B40" s="14" t="s">
        <v>54</v>
      </c>
      <c r="W40" s="45"/>
      <c r="X40" s="46"/>
      <c r="Y40" s="46"/>
      <c r="Z40" s="46"/>
      <c r="AA40" s="47"/>
      <c r="AB40" s="48"/>
      <c r="AC40" s="46"/>
      <c r="AD40" s="46"/>
      <c r="AE40" s="47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2024-11-13T11:47:44Z</dcterms:created>
  <dcterms:modified xsi:type="dcterms:W3CDTF">2024-11-13T12:08:02Z</dcterms:modified>
  <cp:category/>
</cp:coreProperties>
</file>