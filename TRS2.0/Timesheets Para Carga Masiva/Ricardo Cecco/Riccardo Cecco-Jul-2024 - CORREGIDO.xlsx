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2024\"/>
    </mc:Choice>
  </mc:AlternateContent>
  <bookViews>
    <workbookView xWindow="0" yWindow="0" windowWidth="28800" windowHeight="1230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AH23" i="1" l="1"/>
  <c r="AH32" i="1"/>
  <c r="AH31" i="1"/>
  <c r="AH30" i="1"/>
  <c r="AH29" i="1"/>
  <c r="AH28" i="1"/>
  <c r="AH27" i="1"/>
  <c r="J26" i="1"/>
  <c r="U25" i="1"/>
  <c r="U26" i="1" s="1"/>
  <c r="T25" i="1"/>
  <c r="T26" i="1" s="1"/>
  <c r="S25" i="1"/>
  <c r="S26" i="1" s="1"/>
  <c r="R25" i="1"/>
  <c r="R26" i="1" s="1"/>
  <c r="Q25" i="1"/>
  <c r="Q26" i="1" s="1"/>
  <c r="N25" i="1"/>
  <c r="M25" i="1"/>
  <c r="M26" i="1" s="1"/>
  <c r="L25" i="1"/>
  <c r="L26" i="1" s="1"/>
  <c r="L33" i="1" s="1"/>
  <c r="K25" i="1"/>
  <c r="K26" i="1" s="1"/>
  <c r="J25" i="1"/>
  <c r="G25" i="1"/>
  <c r="G26" i="1" s="1"/>
  <c r="F25" i="1"/>
  <c r="E25" i="1"/>
  <c r="E26" i="1" s="1"/>
  <c r="D25" i="1"/>
  <c r="C25" i="1"/>
  <c r="C26" i="1" s="1"/>
  <c r="AH24" i="1"/>
  <c r="K33" i="1" l="1"/>
  <c r="J33" i="1"/>
  <c r="G33" i="1"/>
  <c r="F26" i="1"/>
  <c r="F33" i="1" s="1"/>
  <c r="AH25" i="1"/>
  <c r="P16" i="1" s="1"/>
  <c r="M33" i="1"/>
  <c r="R33" i="1"/>
  <c r="Q33" i="1"/>
  <c r="N26" i="1"/>
  <c r="N33" i="1" s="1"/>
  <c r="C33" i="1"/>
  <c r="S33" i="1"/>
  <c r="T33" i="1"/>
  <c r="U33" i="1"/>
  <c r="D26" i="1"/>
  <c r="E33" i="1"/>
  <c r="AH26" i="1" l="1"/>
  <c r="AH33" i="1" s="1"/>
  <c r="D33" i="1"/>
  <c r="AH34" i="1" l="1"/>
  <c r="H16" i="1"/>
  <c r="AI24" i="1" l="1"/>
  <c r="AI23" i="1"/>
  <c r="AI25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<sst xmlns="http://schemas.openxmlformats.org/spreadsheetml/2006/main" count="80" uniqueCount="55">
  <si>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</si>
  <si>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</si>
  <si>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</si>
  <si>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</si>
  <si>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</si>
  <si>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</si>
  <si>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</si>
  <si>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</si>
  <si>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</si>
  <si>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</si>
  <si>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</si>
  <si>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</si>
  <si>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</si>
  <si>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</si>
  <si>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</si>
  <si>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</si>
  <si>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</si>
  <si>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</si>
  <si>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</si>
  <si>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</si>
  <si>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</si>
  <si>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</si>
  <si>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</si>
  <si>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</si>
  <si>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</si>
  <si>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</si>
  <si>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</si>
  <si>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</si>
  <si>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</si>
  <si>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</si>
  <si>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</si>
  <si>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</si>
  <si>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</si>
  <si>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</si>
  <si>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</si>
  <si>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</si>
  <si>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</si>
  <si>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</si>
  <si>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</si>
  <si>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</si>
  <si>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WP5 Generative structural design based on processproperty relationships</t>
  </si>
  <si>
    <t>Dedicacion: 15% Estimated:25.96 h</t>
  </si>
  <si>
    <t>PE104100 DT-GEO - WP2 Workflows and data architecture</t>
  </si>
  <si>
    <t>Dedicacion: 50% Estimated:86.54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</si>
  <si>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</si>
  <si>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</si>
  <si>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</si>
  <si>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</si>
  <si>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</si>
  <si>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</si>
  <si>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</si>
  <si>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</si>
  <si>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</si>
  <si>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2024-08-28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</si>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</sst>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9"/>
  <sheetViews>
    <sheetView tabSelected="1" zoomScale="64" zoomScaleNormal="64" workbookViewId="0">
      <selection activeCell="AK26" sqref="AK2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112.5</v>
      </c>
      <c r="I16" s="25"/>
      <c r="K16" s="24" t="s">
        <v>18</v>
      </c>
      <c r="L16" s="16"/>
      <c r="M16" s="16"/>
      <c r="N16" s="16"/>
      <c r="O16" s="16"/>
      <c r="P16" s="26">
        <f>AH25</f>
        <v>112.5</v>
      </c>
      <c r="Q16" s="26"/>
      <c r="S16" s="24" t="s">
        <v>19</v>
      </c>
      <c r="T16" s="16"/>
      <c r="U16" s="16"/>
      <c r="V16" s="16"/>
      <c r="W16" s="16"/>
      <c r="X16" s="25">
        <f>(P16/7.5) *1</f>
        <v>15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8" t="s">
        <v>20</v>
      </c>
      <c r="Y19" s="8" t="s">
        <v>22</v>
      </c>
      <c r="Z19" s="8" t="s">
        <v>24</v>
      </c>
      <c r="AA19" s="8" t="s">
        <v>26</v>
      </c>
      <c r="AB19" s="8" t="s">
        <v>28</v>
      </c>
      <c r="AC19" s="8" t="s">
        <v>30</v>
      </c>
      <c r="AD19" s="8" t="s">
        <v>32</v>
      </c>
      <c r="AE19" s="8" t="s">
        <v>20</v>
      </c>
      <c r="AF19" s="8" t="s">
        <v>22</v>
      </c>
      <c r="AG19" s="8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8">
        <v>22</v>
      </c>
      <c r="Y20" s="8">
        <v>23</v>
      </c>
      <c r="Z20" s="8">
        <v>24</v>
      </c>
      <c r="AA20" s="8">
        <v>25</v>
      </c>
      <c r="AB20" s="8">
        <v>26</v>
      </c>
      <c r="AC20" s="8">
        <v>27</v>
      </c>
      <c r="AD20" s="8">
        <v>28</v>
      </c>
      <c r="AE20" s="8">
        <v>29</v>
      </c>
      <c r="AF20" s="8">
        <v>30</v>
      </c>
      <c r="AG20" s="8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0</v>
      </c>
      <c r="D23" s="3">
        <v>0</v>
      </c>
      <c r="E23" s="3">
        <v>0</v>
      </c>
      <c r="F23" s="3">
        <v>0</v>
      </c>
      <c r="G23" s="3">
        <v>0.5</v>
      </c>
      <c r="H23" s="6"/>
      <c r="I23" s="6"/>
      <c r="J23" s="3">
        <v>3.5</v>
      </c>
      <c r="K23" s="3"/>
      <c r="L23" s="3">
        <v>0</v>
      </c>
      <c r="M23" s="3">
        <v>6</v>
      </c>
      <c r="N23" s="3">
        <v>5.5</v>
      </c>
      <c r="O23" s="6"/>
      <c r="P23" s="6"/>
      <c r="Q23" s="3">
        <v>3.5</v>
      </c>
      <c r="R23" s="3">
        <v>2.5</v>
      </c>
      <c r="S23" s="3">
        <v>4.5</v>
      </c>
      <c r="T23" s="3">
        <v>0</v>
      </c>
      <c r="U23" s="3">
        <v>0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3">
        <f>SUM(C23:AG23)</f>
        <v>26</v>
      </c>
      <c r="AI23" s="13">
        <f>(AH23/$AH$34)*(1-0.35)</f>
        <v>0.15022222222222223</v>
      </c>
    </row>
    <row r="24" spans="1:35" ht="20.25" thickBot="1" x14ac:dyDescent="0.35">
      <c r="A24" s="12" t="s">
        <v>42</v>
      </c>
      <c r="B24" s="12" t="s">
        <v>43</v>
      </c>
      <c r="C24" s="3">
        <v>7.5</v>
      </c>
      <c r="D24" s="3">
        <v>7.5</v>
      </c>
      <c r="E24" s="3">
        <v>7.5</v>
      </c>
      <c r="F24" s="3">
        <v>7.5</v>
      </c>
      <c r="G24" s="3">
        <v>7</v>
      </c>
      <c r="H24" s="6"/>
      <c r="I24" s="6"/>
      <c r="J24" s="3">
        <v>4</v>
      </c>
      <c r="K24" s="3">
        <v>7.5</v>
      </c>
      <c r="L24" s="3">
        <v>7.5</v>
      </c>
      <c r="M24" s="3">
        <v>1.5</v>
      </c>
      <c r="N24" s="3">
        <v>2</v>
      </c>
      <c r="O24" s="6"/>
      <c r="P24" s="6"/>
      <c r="Q24" s="3">
        <v>4</v>
      </c>
      <c r="R24" s="3">
        <v>5</v>
      </c>
      <c r="S24" s="3">
        <v>3</v>
      </c>
      <c r="T24" s="3">
        <v>7.5</v>
      </c>
      <c r="U24" s="3">
        <v>7.5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3">
        <f>SUM(C24:AG24)</f>
        <v>86.5</v>
      </c>
      <c r="AI24" s="13">
        <f>(AH24/$AH$34)*(1-0.35)</f>
        <v>0.49977777777777777</v>
      </c>
    </row>
    <row r="25" spans="1:35" ht="20.25" thickBot="1" x14ac:dyDescent="0.35">
      <c r="A25" s="35" t="s">
        <v>44</v>
      </c>
      <c r="B25" s="36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7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7"/>
      <c r="P25" s="7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4">
        <f>SUM(AH23:AH24)</f>
        <v>112.5</v>
      </c>
      <c r="AI25" s="11">
        <f>AH25/$AH$34</f>
        <v>1</v>
      </c>
    </row>
    <row r="26" spans="1:35" ht="19.5" x14ac:dyDescent="0.3">
      <c r="A26" s="37" t="s">
        <v>45</v>
      </c>
      <c r="B26" s="37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6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6"/>
      <c r="P26" s="6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3">
        <f t="shared" ref="AH26:AH32" si="0">SUM(C26:AG26)</f>
        <v>0</v>
      </c>
    </row>
    <row r="27" spans="1:35" ht="19.5" x14ac:dyDescent="0.3">
      <c r="A27" s="37"/>
      <c r="B27" s="37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3">
        <f t="shared" si="0"/>
        <v>0</v>
      </c>
    </row>
    <row r="29" spans="1:35" ht="19.5" x14ac:dyDescent="0.3">
      <c r="A29" s="37"/>
      <c r="B29" s="37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3">
        <f t="shared" si="0"/>
        <v>0</v>
      </c>
    </row>
    <row r="30" spans="1:35" ht="19.5" x14ac:dyDescent="0.3">
      <c r="A30" s="37" t="s">
        <v>46</v>
      </c>
      <c r="B30" s="37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7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7"/>
      <c r="P33" s="7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4">
        <f>SUM(AH25:AH29)</f>
        <v>112.5</v>
      </c>
    </row>
    <row r="34" spans="1:34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112.5</v>
      </c>
    </row>
    <row r="37" spans="1:34" x14ac:dyDescent="0.25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53</v>
      </c>
      <c r="W39" s="45"/>
      <c r="X39" s="46"/>
      <c r="Y39" s="46"/>
      <c r="Z39" s="46"/>
      <c r="AA39" s="47"/>
      <c r="AB39" s="48">
        <v>45492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2024-09-19T10:40:06Z</dcterms:created>
  <dcterms:modified xsi:type="dcterms:W3CDTF">2024-11-13T13:03:32Z</dcterms:modified>
  <cp:category/>
</cp:coreProperties>
</file>