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F25" i="1" l="1"/>
  <c r="AF33" i="1"/>
  <c r="AF32" i="1"/>
  <c r="AF31" i="1"/>
  <c r="AF30" i="1"/>
  <c r="AF29" i="1"/>
  <c r="AF28" i="1"/>
  <c r="AE26" i="1"/>
  <c r="AE27" i="1" s="1"/>
  <c r="AD26" i="1"/>
  <c r="AD27" i="1" s="1"/>
  <c r="AC26" i="1"/>
  <c r="AC27" i="1" s="1"/>
  <c r="AB26" i="1"/>
  <c r="AB27" i="1" s="1"/>
  <c r="AB34" i="1" s="1"/>
  <c r="Y26" i="1"/>
  <c r="X26" i="1"/>
  <c r="W26" i="1"/>
  <c r="V26" i="1"/>
  <c r="V27" i="1" s="1"/>
  <c r="U26" i="1"/>
  <c r="U27" i="1" s="1"/>
  <c r="R26" i="1"/>
  <c r="R27" i="1" s="1"/>
  <c r="Q26" i="1"/>
  <c r="P26" i="1"/>
  <c r="P27" i="1" s="1"/>
  <c r="AF24" i="1"/>
  <c r="AF23" i="1"/>
  <c r="AF26" i="1" l="1"/>
  <c r="P16" i="1" s="1"/>
  <c r="X16" i="1" s="1"/>
  <c r="AE34" i="1"/>
  <c r="U34" i="1"/>
  <c r="V34" i="1"/>
  <c r="X27" i="1"/>
  <c r="X34" i="1" s="1"/>
  <c r="Y27" i="1"/>
  <c r="Y34" i="1" s="1"/>
  <c r="W27" i="1"/>
  <c r="AF27" i="1" s="1"/>
  <c r="P34" i="1"/>
  <c r="AC34" i="1"/>
  <c r="R34" i="1"/>
  <c r="AD34" i="1"/>
  <c r="Q27" i="1"/>
  <c r="Q34" i="1" s="1"/>
  <c r="AF34" i="1" l="1"/>
  <c r="AF35" i="1" s="1"/>
  <c r="AG25" i="1" s="1"/>
  <c r="W34" i="1"/>
  <c r="H16" i="1" l="1"/>
  <c r="AG23" i="1"/>
  <c r="AG24" i="1"/>
  <c r="AG26" i="1"/>
</calcChain>
</file>

<file path=xl/sharedStrings.xml><?xml version="1.0" encoding="utf-8"?>
<sst xmlns="http://schemas.openxmlformats.org/spreadsheetml/2006/main" count="80" uniqueCount="56">
  <si>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</si>
  <si>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</si>
  <si>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</si>
  <si>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</si>
  <si>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</si>
  <si>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</si>
  <si>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</si>
  <si>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</si>
  <si>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</si>
  <si>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</si>
  <si>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</si>
  <si>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</si>
  <si>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</si>
  <si>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</si>
  <si>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</si>
  <si>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</si>
  <si>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</si>
  <si>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</si>
  <si>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</si>
  <si>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</si>
  <si>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</si>
  <si>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</si>
  <si>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</si>
  <si>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</si>
  <si>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</si>
  <si>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</si>
  <si>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</si>
  <si>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</si>
  <si>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</si>
  <si>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</si>
  <si>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</si>
  <si>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</si>
  <si>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</si>
  <si>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</si>
  <si>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</si>
  <si>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</si>
  <si>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</si>
  <si>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</si>
  <si>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</si>
  <si>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</si>
  <si>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</si>
  <si>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47% Estimated:63.13 h</t>
  </si>
  <si>
    <t>PE103600 CAELESTIS - WP5 Generative structural design based on processproperty relationships</t>
  </si>
  <si>
    <t>Dedicacion: 10% Estimated:13.43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</si>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</sst>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40"/>
  <sheetViews>
    <sheetView tabSelected="1" topLeftCell="C6" zoomScale="90" zoomScaleNormal="90" workbookViewId="0">
      <selection activeCell="AE24" sqref="AE24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20" t="s">
        <v>1</v>
      </c>
      <c r="D2" s="20"/>
      <c r="E2" s="20"/>
    </row>
    <row r="4" spans="1:32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2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8" spans="1:32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6" spans="1:32" ht="19.5" x14ac:dyDescent="0.3">
      <c r="F16" s="27" t="s">
        <v>17</v>
      </c>
      <c r="G16" s="19"/>
      <c r="H16" s="28">
        <f>AF34</f>
        <v>90</v>
      </c>
      <c r="I16" s="28"/>
      <c r="K16" s="27" t="s">
        <v>18</v>
      </c>
      <c r="L16" s="19"/>
      <c r="M16" s="19"/>
      <c r="N16" s="19"/>
      <c r="O16" s="19"/>
      <c r="P16" s="29">
        <f>AF26</f>
        <v>90</v>
      </c>
      <c r="Q16" s="29"/>
      <c r="S16" s="27" t="s">
        <v>19</v>
      </c>
      <c r="T16" s="19"/>
      <c r="U16" s="19"/>
      <c r="V16" s="19"/>
      <c r="W16" s="19"/>
      <c r="X16" s="28">
        <f>(P16/7.5) *1</f>
        <v>12</v>
      </c>
      <c r="Y16" s="28"/>
    </row>
    <row r="19" spans="1:33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5" t="s">
        <v>28</v>
      </c>
      <c r="H19" s="5" t="s">
        <v>30</v>
      </c>
      <c r="I19" s="5" t="s">
        <v>32</v>
      </c>
      <c r="J19" s="5" t="s">
        <v>20</v>
      </c>
      <c r="K19" s="5" t="s">
        <v>22</v>
      </c>
      <c r="L19" s="8" t="s">
        <v>24</v>
      </c>
      <c r="M19" s="8" t="s">
        <v>26</v>
      </c>
      <c r="N19" s="11" t="s">
        <v>28</v>
      </c>
      <c r="O19" s="11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34" t="s">
        <v>36</v>
      </c>
      <c r="AG19" s="35" t="s">
        <v>37</v>
      </c>
    </row>
    <row r="20" spans="1:33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5" t="s">
        <v>29</v>
      </c>
      <c r="H20" s="5" t="s">
        <v>31</v>
      </c>
      <c r="I20" s="5" t="s">
        <v>33</v>
      </c>
      <c r="J20" s="5" t="s">
        <v>34</v>
      </c>
      <c r="K20" s="5" t="s">
        <v>35</v>
      </c>
      <c r="L20" s="8">
        <v>10</v>
      </c>
      <c r="M20" s="8">
        <v>11</v>
      </c>
      <c r="N20" s="11">
        <v>12</v>
      </c>
      <c r="O20" s="11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34"/>
      <c r="AG20" s="36"/>
    </row>
    <row r="21" spans="1:33" ht="19.5" x14ac:dyDescent="0.3">
      <c r="A21" s="20" t="s">
        <v>38</v>
      </c>
      <c r="B21" s="20"/>
      <c r="C21" s="30"/>
      <c r="D21" s="30"/>
      <c r="E21" s="31"/>
      <c r="F21" s="31"/>
      <c r="G21" s="30"/>
      <c r="H21" s="30"/>
      <c r="I21" s="30"/>
      <c r="J21" s="30"/>
      <c r="K21" s="30"/>
      <c r="L21" s="31"/>
      <c r="M21" s="31"/>
      <c r="N21" s="32"/>
      <c r="O21" s="32"/>
      <c r="P21" s="33"/>
      <c r="Q21" s="33"/>
      <c r="R21" s="33"/>
      <c r="S21" s="31"/>
      <c r="T21" s="31"/>
      <c r="U21" s="33"/>
      <c r="V21" s="33"/>
      <c r="W21" s="33"/>
      <c r="X21" s="33"/>
      <c r="Y21" s="33"/>
      <c r="Z21" s="31"/>
      <c r="AA21" s="31"/>
      <c r="AB21" s="33"/>
      <c r="AC21" s="33"/>
      <c r="AD21" s="33"/>
      <c r="AE21" s="33"/>
      <c r="AF21" s="33"/>
      <c r="AG21" s="37"/>
    </row>
    <row r="22" spans="1:33" ht="19.5" x14ac:dyDescent="0.3">
      <c r="A22" s="38" t="s">
        <v>39</v>
      </c>
      <c r="B22" s="38"/>
      <c r="C22" s="30"/>
      <c r="D22" s="30"/>
      <c r="E22" s="31"/>
      <c r="F22" s="31"/>
      <c r="G22" s="30"/>
      <c r="H22" s="30"/>
      <c r="I22" s="30"/>
      <c r="J22" s="30"/>
      <c r="K22" s="30"/>
      <c r="L22" s="31"/>
      <c r="M22" s="31"/>
      <c r="N22" s="32"/>
      <c r="O22" s="32"/>
      <c r="P22" s="33"/>
      <c r="Q22" s="33"/>
      <c r="R22" s="33"/>
      <c r="S22" s="31"/>
      <c r="T22" s="31"/>
      <c r="U22" s="33"/>
      <c r="V22" s="33"/>
      <c r="W22" s="33"/>
      <c r="X22" s="33"/>
      <c r="Y22" s="33"/>
      <c r="Z22" s="31"/>
      <c r="AA22" s="31"/>
      <c r="AB22" s="33"/>
      <c r="AC22" s="33"/>
      <c r="AD22" s="33"/>
      <c r="AE22" s="33"/>
      <c r="AF22" s="33"/>
      <c r="AG22" s="37"/>
    </row>
    <row r="23" spans="1:33" ht="19.5" x14ac:dyDescent="0.3">
      <c r="A23" s="15" t="s">
        <v>40</v>
      </c>
      <c r="B23" s="15" t="s">
        <v>41</v>
      </c>
      <c r="C23" s="6"/>
      <c r="D23" s="6"/>
      <c r="E23" s="9"/>
      <c r="F23" s="9"/>
      <c r="G23" s="6"/>
      <c r="H23" s="6"/>
      <c r="I23" s="6"/>
      <c r="J23" s="6"/>
      <c r="K23" s="6"/>
      <c r="L23" s="9"/>
      <c r="M23" s="9"/>
      <c r="N23" s="12"/>
      <c r="O23" s="12"/>
      <c r="P23" s="3">
        <v>0.5</v>
      </c>
      <c r="Q23" s="3">
        <v>5</v>
      </c>
      <c r="R23" s="3">
        <v>4</v>
      </c>
      <c r="S23" s="9"/>
      <c r="T23" s="9"/>
      <c r="U23" s="3">
        <v>5</v>
      </c>
      <c r="V23" s="3">
        <v>7</v>
      </c>
      <c r="W23" s="3">
        <v>4</v>
      </c>
      <c r="X23" s="3">
        <v>4.5</v>
      </c>
      <c r="Y23" s="3">
        <v>6.5</v>
      </c>
      <c r="Z23" s="9"/>
      <c r="AA23" s="9"/>
      <c r="AB23" s="3">
        <v>7</v>
      </c>
      <c r="AC23" s="3">
        <v>7</v>
      </c>
      <c r="AD23" s="3">
        <v>4.5</v>
      </c>
      <c r="AE23" s="3">
        <v>6.5</v>
      </c>
      <c r="AF23" s="3">
        <f>SUM(C23:AE23)</f>
        <v>61.5</v>
      </c>
      <c r="AG23" s="16">
        <f>AF23/$AF$35</f>
        <v>0.43157894736842106</v>
      </c>
    </row>
    <row r="24" spans="1:33" ht="19.5" x14ac:dyDescent="0.3">
      <c r="A24" s="15" t="s">
        <v>42</v>
      </c>
      <c r="B24" s="15" t="s">
        <v>43</v>
      </c>
      <c r="C24" s="6"/>
      <c r="D24" s="6"/>
      <c r="E24" s="9"/>
      <c r="F24" s="9"/>
      <c r="G24" s="6"/>
      <c r="H24" s="6"/>
      <c r="I24" s="6"/>
      <c r="J24" s="6"/>
      <c r="K24" s="6"/>
      <c r="L24" s="9"/>
      <c r="M24" s="9"/>
      <c r="N24" s="12"/>
      <c r="O24" s="12"/>
      <c r="P24" s="3"/>
      <c r="Q24" s="3">
        <v>2</v>
      </c>
      <c r="R24" s="3">
        <v>2.5</v>
      </c>
      <c r="S24" s="9"/>
      <c r="T24" s="9"/>
      <c r="U24" s="3">
        <v>2</v>
      </c>
      <c r="V24" s="3"/>
      <c r="W24" s="3">
        <v>3</v>
      </c>
      <c r="X24" s="3">
        <v>2</v>
      </c>
      <c r="Y24" s="3"/>
      <c r="Z24" s="9"/>
      <c r="AA24" s="9"/>
      <c r="AB24" s="3"/>
      <c r="AC24" s="3"/>
      <c r="AD24" s="3">
        <v>3</v>
      </c>
      <c r="AE24" s="3"/>
      <c r="AF24" s="3">
        <f>SUM(C24:AE24)</f>
        <v>14.5</v>
      </c>
      <c r="AG24" s="16">
        <f>AF24/$AF$35</f>
        <v>0.10175438596491228</v>
      </c>
    </row>
    <row r="25" spans="1:33" ht="19.5" x14ac:dyDescent="0.3">
      <c r="A25" s="15" t="s">
        <v>44</v>
      </c>
      <c r="B25" s="15" t="s">
        <v>43</v>
      </c>
      <c r="C25" s="6"/>
      <c r="D25" s="6"/>
      <c r="E25" s="9"/>
      <c r="F25" s="9"/>
      <c r="G25" s="6"/>
      <c r="H25" s="6"/>
      <c r="I25" s="6"/>
      <c r="J25" s="6"/>
      <c r="K25" s="6"/>
      <c r="L25" s="9"/>
      <c r="M25" s="9"/>
      <c r="N25" s="12"/>
      <c r="O25" s="12"/>
      <c r="P25" s="3">
        <v>7</v>
      </c>
      <c r="Q25" s="3">
        <v>0.5</v>
      </c>
      <c r="R25" s="3">
        <v>1</v>
      </c>
      <c r="S25" s="9"/>
      <c r="T25" s="9"/>
      <c r="U25" s="3">
        <v>0.5</v>
      </c>
      <c r="V25" s="3">
        <v>0.5</v>
      </c>
      <c r="W25" s="3">
        <v>0.5</v>
      </c>
      <c r="X25" s="3">
        <v>1</v>
      </c>
      <c r="Y25" s="3">
        <v>1</v>
      </c>
      <c r="Z25" s="9"/>
      <c r="AA25" s="9"/>
      <c r="AB25" s="3">
        <v>0.5</v>
      </c>
      <c r="AC25" s="3">
        <v>0.5</v>
      </c>
      <c r="AD25" s="3"/>
      <c r="AE25" s="3">
        <v>1</v>
      </c>
      <c r="AF25" s="3">
        <f>SUM(C25:AE25)</f>
        <v>14</v>
      </c>
      <c r="AG25" s="16">
        <f>AF25/$AF$35</f>
        <v>9.8245614035087719E-2</v>
      </c>
    </row>
    <row r="26" spans="1:33" ht="19.5" x14ac:dyDescent="0.3">
      <c r="A26" s="39" t="s">
        <v>45</v>
      </c>
      <c r="B26" s="40"/>
      <c r="C26" s="7"/>
      <c r="D26" s="7"/>
      <c r="E26" s="10"/>
      <c r="F26" s="10"/>
      <c r="G26" s="7"/>
      <c r="H26" s="7"/>
      <c r="I26" s="7"/>
      <c r="J26" s="7"/>
      <c r="K26" s="7"/>
      <c r="L26" s="10"/>
      <c r="M26" s="10"/>
      <c r="N26" s="13"/>
      <c r="O26" s="13"/>
      <c r="P26" s="4">
        <f>SUM(P23:P25)</f>
        <v>7.5</v>
      </c>
      <c r="Q26" s="4">
        <f>SUM(Q23:Q25)</f>
        <v>7.5</v>
      </c>
      <c r="R26" s="4">
        <f>SUM(R23:R25)</f>
        <v>7.5</v>
      </c>
      <c r="S26" s="10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90</v>
      </c>
      <c r="AG26" s="14">
        <f>AF26/$AF$35</f>
        <v>0.63157894736842102</v>
      </c>
    </row>
    <row r="27" spans="1:33" ht="19.5" x14ac:dyDescent="0.3">
      <c r="A27" s="41" t="s">
        <v>46</v>
      </c>
      <c r="B27" s="41"/>
      <c r="C27" s="6"/>
      <c r="D27" s="6"/>
      <c r="E27" s="9"/>
      <c r="F27" s="9"/>
      <c r="G27" s="6"/>
      <c r="H27" s="6"/>
      <c r="I27" s="6"/>
      <c r="J27" s="6"/>
      <c r="K27" s="6"/>
      <c r="L27" s="9"/>
      <c r="M27" s="9"/>
      <c r="N27" s="12"/>
      <c r="O27" s="12"/>
      <c r="P27" s="3">
        <f>7.5-P26</f>
        <v>0</v>
      </c>
      <c r="Q27" s="3">
        <f>7.5-Q26</f>
        <v>0</v>
      </c>
      <c r="R27" s="3">
        <f>7.5-R26</f>
        <v>0</v>
      </c>
      <c r="S27" s="9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 t="shared" ref="AF27:AF33" si="0">SUM(C27:AE27)</f>
        <v>0</v>
      </c>
    </row>
    <row r="28" spans="1:33" ht="19.5" x14ac:dyDescent="0.3">
      <c r="A28" s="41"/>
      <c r="B28" s="41"/>
      <c r="C28" s="6"/>
      <c r="D28" s="6"/>
      <c r="E28" s="9"/>
      <c r="F28" s="9"/>
      <c r="G28" s="6"/>
      <c r="H28" s="6"/>
      <c r="I28" s="6"/>
      <c r="J28" s="6"/>
      <c r="K28" s="6"/>
      <c r="L28" s="9"/>
      <c r="M28" s="9"/>
      <c r="N28" s="12"/>
      <c r="O28" s="12"/>
      <c r="P28" s="3"/>
      <c r="Q28" s="3"/>
      <c r="R28" s="3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41"/>
      <c r="B29" s="41"/>
      <c r="C29" s="6"/>
      <c r="D29" s="6"/>
      <c r="E29" s="9"/>
      <c r="F29" s="9"/>
      <c r="G29" s="6"/>
      <c r="H29" s="6"/>
      <c r="I29" s="6"/>
      <c r="J29" s="6"/>
      <c r="K29" s="6"/>
      <c r="L29" s="9"/>
      <c r="M29" s="9"/>
      <c r="N29" s="12"/>
      <c r="O29" s="12"/>
      <c r="P29" s="3"/>
      <c r="Q29" s="3"/>
      <c r="R29" s="3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41"/>
      <c r="B30" s="41"/>
      <c r="C30" s="6"/>
      <c r="D30" s="6"/>
      <c r="E30" s="9"/>
      <c r="F30" s="9"/>
      <c r="G30" s="6"/>
      <c r="H30" s="6"/>
      <c r="I30" s="6"/>
      <c r="J30" s="6"/>
      <c r="K30" s="6"/>
      <c r="L30" s="9"/>
      <c r="M30" s="9"/>
      <c r="N30" s="12"/>
      <c r="O30" s="12"/>
      <c r="P30" s="3"/>
      <c r="Q30" s="3"/>
      <c r="R30" s="3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41" t="s">
        <v>47</v>
      </c>
      <c r="B31" s="41"/>
      <c r="C31" s="6"/>
      <c r="D31" s="6"/>
      <c r="E31" s="9"/>
      <c r="F31" s="9"/>
      <c r="G31" s="6"/>
      <c r="H31" s="6"/>
      <c r="I31" s="6"/>
      <c r="J31" s="6"/>
      <c r="K31" s="6"/>
      <c r="L31" s="9"/>
      <c r="M31" s="9"/>
      <c r="N31" s="12"/>
      <c r="O31" s="12"/>
      <c r="P31" s="3"/>
      <c r="Q31" s="3"/>
      <c r="R31" s="3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41" t="s">
        <v>48</v>
      </c>
      <c r="B32" s="41"/>
      <c r="C32" s="6"/>
      <c r="D32" s="6"/>
      <c r="E32" s="9"/>
      <c r="F32" s="9"/>
      <c r="G32" s="6"/>
      <c r="H32" s="6"/>
      <c r="I32" s="6"/>
      <c r="J32" s="6"/>
      <c r="K32" s="6"/>
      <c r="L32" s="9"/>
      <c r="M32" s="9"/>
      <c r="N32" s="12"/>
      <c r="O32" s="12"/>
      <c r="P32" s="3"/>
      <c r="Q32" s="3"/>
      <c r="R32" s="3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41" t="s">
        <v>49</v>
      </c>
      <c r="B33" s="41"/>
      <c r="C33" s="6">
        <v>7.5</v>
      </c>
      <c r="D33" s="6">
        <v>7.5</v>
      </c>
      <c r="E33" s="9"/>
      <c r="F33" s="9"/>
      <c r="G33" s="6">
        <v>7.5</v>
      </c>
      <c r="H33" s="6">
        <v>7.5</v>
      </c>
      <c r="I33" s="6">
        <v>7.5</v>
      </c>
      <c r="J33" s="6">
        <v>7.5</v>
      </c>
      <c r="K33" s="6">
        <v>7.5</v>
      </c>
      <c r="L33" s="9"/>
      <c r="M33" s="9"/>
      <c r="N33" s="12"/>
      <c r="O33" s="12"/>
      <c r="P33" s="3"/>
      <c r="Q33" s="3"/>
      <c r="R33" s="3"/>
      <c r="S33" s="9"/>
      <c r="T33" s="9"/>
      <c r="U33" s="3"/>
      <c r="V33" s="3"/>
      <c r="W33" s="3"/>
      <c r="X33" s="3"/>
      <c r="Y33" s="3"/>
      <c r="Z33" s="9"/>
      <c r="AA33" s="9"/>
      <c r="AB33" s="3"/>
      <c r="AC33" s="3"/>
      <c r="AD33" s="3"/>
      <c r="AE33" s="3"/>
      <c r="AF33" s="3">
        <f t="shared" si="0"/>
        <v>52.5</v>
      </c>
    </row>
    <row r="34" spans="1:32" ht="19.5" x14ac:dyDescent="0.3">
      <c r="A34" s="15" t="s">
        <v>50</v>
      </c>
      <c r="B34" s="15"/>
      <c r="C34" s="7"/>
      <c r="D34" s="7"/>
      <c r="E34" s="10"/>
      <c r="F34" s="10"/>
      <c r="G34" s="7"/>
      <c r="H34" s="7"/>
      <c r="I34" s="7"/>
      <c r="J34" s="7"/>
      <c r="K34" s="7"/>
      <c r="L34" s="10"/>
      <c r="M34" s="10"/>
      <c r="N34" s="13"/>
      <c r="O34" s="13"/>
      <c r="P34" s="4">
        <f>SUM(P26:P30)</f>
        <v>7.5</v>
      </c>
      <c r="Q34" s="4">
        <f>SUM(Q26:Q30)</f>
        <v>7.5</v>
      </c>
      <c r="R34" s="4">
        <f>SUM(R26:R30)</f>
        <v>7.5</v>
      </c>
      <c r="S34" s="10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90</v>
      </c>
    </row>
    <row r="35" spans="1:32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2">
        <f>SUM(AF31:AF34)</f>
        <v>142.5</v>
      </c>
    </row>
    <row r="38" spans="1:32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2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2" ht="19.5" x14ac:dyDescent="0.25">
      <c r="A40" s="36"/>
      <c r="B40" s="17" t="s">
        <v>54</v>
      </c>
      <c r="W40" s="49"/>
      <c r="X40" s="50"/>
      <c r="Y40" s="50"/>
      <c r="Z40" s="50"/>
      <c r="AA40" s="51"/>
      <c r="AB40" s="52"/>
      <c r="AC40" s="50"/>
      <c r="AD40" s="50"/>
      <c r="AE40" s="51"/>
    </row>
  </sheetData>
  <mergeCells count="68">
    <mergeCell ref="A31:B31"/>
    <mergeCell ref="A32:B32"/>
    <mergeCell ref="A33:B33"/>
    <mergeCell ref="C35:AE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2024-11-13T11:47:41Z</dcterms:created>
  <dcterms:modified xsi:type="dcterms:W3CDTF">2024-11-13T12:05:24Z</dcterms:modified>
  <cp:category/>
</cp:coreProperties>
</file>