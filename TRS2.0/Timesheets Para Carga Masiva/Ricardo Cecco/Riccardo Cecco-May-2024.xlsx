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Riccardo Cecco\"/>
    </mc:Choice>
  </mc:AlternateContent>
  <bookViews>
    <workbookView xWindow="0" yWindow="0" windowWidth="28800" windowHeight="12300"/>
  </bookViews>
  <sheets>
    <sheet name="Work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C26" i="1"/>
  <c r="AC33" i="1" s="1"/>
  <c r="Z26" i="1"/>
  <c r="P26" i="1"/>
  <c r="P33" i="1" s="1"/>
  <c r="AG25" i="1"/>
  <c r="AG26" i="1" s="1"/>
  <c r="AF25" i="1"/>
  <c r="AF26" i="1" s="1"/>
  <c r="AF33" i="1" s="1"/>
  <c r="AE25" i="1"/>
  <c r="AD25" i="1"/>
  <c r="AC25" i="1"/>
  <c r="Z25" i="1"/>
  <c r="Y25" i="1"/>
  <c r="Y26" i="1" s="1"/>
  <c r="X25" i="1"/>
  <c r="W25" i="1"/>
  <c r="S25" i="1"/>
  <c r="R25" i="1"/>
  <c r="Q25" i="1"/>
  <c r="Q26" i="1" s="1"/>
  <c r="Q33" i="1" s="1"/>
  <c r="P25" i="1"/>
  <c r="O25" i="1"/>
  <c r="O26" i="1" s="1"/>
  <c r="O33" i="1" s="1"/>
  <c r="L25" i="1"/>
  <c r="K25" i="1"/>
  <c r="J25" i="1"/>
  <c r="J26" i="1" s="1"/>
  <c r="J33" i="1" s="1"/>
  <c r="I25" i="1"/>
  <c r="H25" i="1"/>
  <c r="H26" i="1" s="1"/>
  <c r="E25" i="1"/>
  <c r="E26" i="1" s="1"/>
  <c r="D25" i="1"/>
  <c r="D26" i="1" s="1"/>
  <c r="AH24" i="1"/>
  <c r="AH23" i="1"/>
  <c r="I26" i="1" l="1"/>
  <c r="I33" i="1" s="1"/>
  <c r="AG33" i="1"/>
  <c r="Z33" i="1"/>
  <c r="X26" i="1"/>
  <c r="X33" i="1" s="1"/>
  <c r="W26" i="1"/>
  <c r="W33" i="1" s="1"/>
  <c r="S26" i="1"/>
  <c r="S33" i="1" s="1"/>
  <c r="AH25" i="1"/>
  <c r="P16" i="1" s="1"/>
  <c r="X16" i="1" s="1"/>
  <c r="E33" i="1"/>
  <c r="D33" i="1"/>
  <c r="R33" i="1"/>
  <c r="K26" i="1"/>
  <c r="AD26" i="1"/>
  <c r="AD33" i="1" s="1"/>
  <c r="L26" i="1"/>
  <c r="L33" i="1" s="1"/>
  <c r="AE26" i="1"/>
  <c r="AE33" i="1" s="1"/>
  <c r="H33" i="1"/>
  <c r="Y33" i="1"/>
  <c r="R26" i="1"/>
  <c r="AH26" i="1" l="1"/>
  <c r="AH33" i="1" s="1"/>
  <c r="K33" i="1"/>
  <c r="H16" i="1" l="1"/>
  <c r="AH34" i="1"/>
  <c r="AI23" i="1" s="1"/>
  <c r="AI25" i="1" l="1"/>
  <c r="AI24" i="1"/>
</calcChain>
</file>

<file path=xl/sharedStrings.xml><?xml version="1.0" encoding="utf-8"?>
<sst xmlns="http://schemas.openxmlformats.org/spreadsheetml/2006/main" count="90" uniqueCount="64">
  <si>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</si>
  <si>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</si>
  <si>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</si>
  <si>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</si>
  <si>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</si>
  <si>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</si>
  <si>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</si>
  <si>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</si>
  <si>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</si>
  <si>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</si>
  <si>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</si>
  <si>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</si>
  <si>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</si>
  <si>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</si>
  <si>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</si>
  <si>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</si>
  <si>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</si>
  <si>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</si>
  <si>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</si>
  <si>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</si>
  <si>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</si>
  <si>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</si>
  <si>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</si>
  <si>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</si>
  <si>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</si>
  <si>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</si>
  <si>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</si>
  <si>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</si>
  <si>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</si>
  <si>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</si>
  <si>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</si>
  <si>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</si>
  <si>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</si>
  <si>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</si>
  <si>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</si>
  <si>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</si>
  <si>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</si>
  <si>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</si>
  <si>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</si>
  <si>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</si>
  <si>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PE103600 CAELESTIS - WP5 Generative structural design based on processproperty relationships</t>
  </si>
  <si>
    <t>Dedicacion: 50% Estimated:78.75 h</t>
  </si>
  <si>
    <t>PE104100 DT-GEO - WP2 Workflows and data architecture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</si>
  <si>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</si>
  <si>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</si>
  <si>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</si>
  <si>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</si>
  <si>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</si>
  <si>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</si>
  <si>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</si>
  <si>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</si>
  <si>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Jorge Ejarque Artigas</t>
  </si>
  <si>
    <t>2024-06-03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</si>
  <si>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</si>
  <si>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</si>
  <si>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</si>
  <si>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</si>
  <si>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</si>
  <si>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</si>
  <si>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</si>
  <si>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0703/24</t>
  </si>
  <si>
    <t>2024-05-14</t>
  </si>
  <si>
    <t>2024-05-15</t>
  </si>
  <si>
    <t>PE103600 CAELESTIS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</si>
</sst>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43"/>
  <sheetViews>
    <sheetView tabSelected="1" zoomScale="62" zoomScaleNormal="62" workbookViewId="0">
      <selection activeCell="AG24" sqref="AG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35" t="s">
        <v>1</v>
      </c>
      <c r="D2" s="35"/>
      <c r="E2" s="35"/>
    </row>
    <row r="4" spans="1:34" ht="19.5" x14ac:dyDescent="0.3">
      <c r="C4" s="49" t="s">
        <v>2</v>
      </c>
      <c r="D4" s="49"/>
      <c r="E4" s="49"/>
      <c r="F4" s="50" t="s">
        <v>3</v>
      </c>
      <c r="G4" s="50"/>
      <c r="H4" s="50"/>
      <c r="I4" s="51" t="s">
        <v>4</v>
      </c>
      <c r="J4" s="51"/>
      <c r="K4" s="52" t="s">
        <v>5</v>
      </c>
      <c r="L4" s="52"/>
      <c r="M4" s="53" t="s">
        <v>6</v>
      </c>
      <c r="N4" s="53"/>
      <c r="O4" s="54" t="s">
        <v>7</v>
      </c>
      <c r="P4" s="54"/>
      <c r="Q4" s="54"/>
    </row>
    <row r="6" spans="1:34" ht="26.25" x14ac:dyDescent="0.4">
      <c r="A6" s="48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</row>
    <row r="8" spans="1:34" ht="19.5" x14ac:dyDescent="0.3">
      <c r="A8" s="1" t="s">
        <v>12</v>
      </c>
      <c r="B8" s="35" t="s">
        <v>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</row>
    <row r="9" spans="1:34" ht="19.5" x14ac:dyDescent="0.3">
      <c r="A9" s="1" t="s">
        <v>13</v>
      </c>
      <c r="B9" s="35" t="s">
        <v>9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spans="1:34" ht="19.5" x14ac:dyDescent="0.3">
      <c r="A10" s="1" t="s">
        <v>14</v>
      </c>
      <c r="B10" s="35" t="s">
        <v>10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</row>
    <row r="11" spans="1:34" ht="19.5" x14ac:dyDescent="0.3">
      <c r="A11" s="1" t="s">
        <v>15</v>
      </c>
      <c r="B11" s="35" t="s">
        <v>11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</row>
    <row r="12" spans="1:34" ht="19.5" x14ac:dyDescent="0.3">
      <c r="A12" s="1" t="s">
        <v>16</v>
      </c>
      <c r="B12" s="35">
        <v>2024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</row>
    <row r="16" spans="1:34" ht="19.5" x14ac:dyDescent="0.3">
      <c r="F16" s="45" t="s">
        <v>17</v>
      </c>
      <c r="G16" s="46"/>
      <c r="H16" s="43">
        <f>AH33</f>
        <v>157.5</v>
      </c>
      <c r="I16" s="43"/>
      <c r="K16" s="45" t="s">
        <v>18</v>
      </c>
      <c r="L16" s="46"/>
      <c r="M16" s="46"/>
      <c r="N16" s="46"/>
      <c r="O16" s="46"/>
      <c r="P16" s="47">
        <f>AH25</f>
        <v>157.5</v>
      </c>
      <c r="Q16" s="47"/>
      <c r="S16" s="45" t="s">
        <v>19</v>
      </c>
      <c r="T16" s="46"/>
      <c r="U16" s="46"/>
      <c r="V16" s="46"/>
      <c r="W16" s="46"/>
      <c r="X16" s="43">
        <f>(P16/7.5) *1</f>
        <v>21</v>
      </c>
      <c r="Y16" s="43"/>
    </row>
    <row r="19" spans="1:35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11" t="s">
        <v>32</v>
      </c>
      <c r="Q19" s="11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20" t="s">
        <v>36</v>
      </c>
      <c r="AI19" s="2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11">
        <v>14</v>
      </c>
      <c r="Q20" s="11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20"/>
      <c r="AI20" s="23"/>
    </row>
    <row r="21" spans="1:35" ht="19.5" x14ac:dyDescent="0.3">
      <c r="A21" s="35" t="s">
        <v>38</v>
      </c>
      <c r="B21" s="35"/>
      <c r="C21" s="42"/>
      <c r="D21" s="39"/>
      <c r="E21" s="39"/>
      <c r="F21" s="41"/>
      <c r="G21" s="41"/>
      <c r="H21" s="39"/>
      <c r="I21" s="39"/>
      <c r="J21" s="39"/>
      <c r="K21" s="39"/>
      <c r="L21" s="39"/>
      <c r="M21" s="41"/>
      <c r="N21" s="41"/>
      <c r="O21" s="39"/>
      <c r="P21" s="44"/>
      <c r="Q21" s="44"/>
      <c r="R21" s="39"/>
      <c r="S21" s="39"/>
      <c r="T21" s="41"/>
      <c r="U21" s="41"/>
      <c r="V21" s="42"/>
      <c r="W21" s="39"/>
      <c r="X21" s="39"/>
      <c r="Y21" s="39"/>
      <c r="Z21" s="39"/>
      <c r="AA21" s="41"/>
      <c r="AB21" s="41"/>
      <c r="AC21" s="39"/>
      <c r="AD21" s="39"/>
      <c r="AE21" s="39"/>
      <c r="AF21" s="39"/>
      <c r="AG21" s="39"/>
      <c r="AH21" s="39"/>
      <c r="AI21" s="40"/>
    </row>
    <row r="22" spans="1:35" ht="19.5" x14ac:dyDescent="0.3">
      <c r="A22" s="36" t="s">
        <v>39</v>
      </c>
      <c r="B22" s="36"/>
      <c r="C22" s="42"/>
      <c r="D22" s="39"/>
      <c r="E22" s="39"/>
      <c r="F22" s="41"/>
      <c r="G22" s="41"/>
      <c r="H22" s="39"/>
      <c r="I22" s="39"/>
      <c r="J22" s="39"/>
      <c r="K22" s="39"/>
      <c r="L22" s="39"/>
      <c r="M22" s="41"/>
      <c r="N22" s="41"/>
      <c r="O22" s="39"/>
      <c r="P22" s="44"/>
      <c r="Q22" s="44"/>
      <c r="R22" s="39"/>
      <c r="S22" s="39"/>
      <c r="T22" s="41"/>
      <c r="U22" s="41"/>
      <c r="V22" s="42"/>
      <c r="W22" s="39"/>
      <c r="X22" s="39"/>
      <c r="Y22" s="39"/>
      <c r="Z22" s="39"/>
      <c r="AA22" s="41"/>
      <c r="AB22" s="41"/>
      <c r="AC22" s="39"/>
      <c r="AD22" s="39"/>
      <c r="AE22" s="39"/>
      <c r="AF22" s="39"/>
      <c r="AG22" s="39"/>
      <c r="AH22" s="39"/>
      <c r="AI22" s="40"/>
    </row>
    <row r="23" spans="1:35" ht="19.5" x14ac:dyDescent="0.3">
      <c r="A23" s="15" t="s">
        <v>40</v>
      </c>
      <c r="B23" s="15" t="s">
        <v>41</v>
      </c>
      <c r="C23" s="6"/>
      <c r="D23" s="3">
        <v>2.5</v>
      </c>
      <c r="E23" s="3">
        <v>2.5</v>
      </c>
      <c r="F23" s="9"/>
      <c r="G23" s="9"/>
      <c r="H23" s="3">
        <v>2.5</v>
      </c>
      <c r="I23" s="3">
        <v>7.5</v>
      </c>
      <c r="J23" s="3">
        <v>4.5</v>
      </c>
      <c r="K23" s="3">
        <v>1.5</v>
      </c>
      <c r="L23" s="3">
        <v>3.5</v>
      </c>
      <c r="M23" s="9"/>
      <c r="N23" s="9"/>
      <c r="O23" s="3">
        <v>5.5</v>
      </c>
      <c r="P23" s="12">
        <v>7.5</v>
      </c>
      <c r="Q23" s="12">
        <v>7.5</v>
      </c>
      <c r="R23" s="3">
        <v>5.5</v>
      </c>
      <c r="S23" s="3">
        <v>2.5</v>
      </c>
      <c r="T23" s="9"/>
      <c r="U23" s="9"/>
      <c r="V23" s="6"/>
      <c r="W23" s="3">
        <v>0</v>
      </c>
      <c r="X23" s="3">
        <v>5.5</v>
      </c>
      <c r="Y23" s="3">
        <v>0</v>
      </c>
      <c r="Z23" s="3">
        <v>3.5</v>
      </c>
      <c r="AA23" s="9"/>
      <c r="AB23" s="9"/>
      <c r="AC23" s="3">
        <v>2.5</v>
      </c>
      <c r="AD23" s="3">
        <v>4.5</v>
      </c>
      <c r="AE23" s="3">
        <v>5.5</v>
      </c>
      <c r="AF23" s="3">
        <v>2.5</v>
      </c>
      <c r="AG23" s="3">
        <v>1.5</v>
      </c>
      <c r="AH23" s="3">
        <f>SUM(C23:AG23)</f>
        <v>78.5</v>
      </c>
      <c r="AI23" s="16">
        <f>AH23/$AH$34</f>
        <v>0.49841269841269842</v>
      </c>
    </row>
    <row r="24" spans="1:35" ht="19.5" x14ac:dyDescent="0.3">
      <c r="A24" s="15" t="s">
        <v>42</v>
      </c>
      <c r="B24" s="15" t="s">
        <v>41</v>
      </c>
      <c r="C24" s="6"/>
      <c r="D24" s="3">
        <v>5</v>
      </c>
      <c r="E24" s="3">
        <v>5</v>
      </c>
      <c r="F24" s="9"/>
      <c r="G24" s="9"/>
      <c r="H24" s="3">
        <v>5</v>
      </c>
      <c r="I24" s="3"/>
      <c r="J24" s="3">
        <v>3</v>
      </c>
      <c r="K24" s="3">
        <v>6</v>
      </c>
      <c r="L24" s="3">
        <v>4</v>
      </c>
      <c r="M24" s="9"/>
      <c r="N24" s="9"/>
      <c r="O24" s="3">
        <v>2</v>
      </c>
      <c r="P24" s="12"/>
      <c r="Q24" s="12"/>
      <c r="R24" s="3">
        <v>2</v>
      </c>
      <c r="S24" s="3">
        <v>5</v>
      </c>
      <c r="T24" s="9"/>
      <c r="U24" s="9"/>
      <c r="V24" s="6"/>
      <c r="W24" s="3">
        <v>7.5</v>
      </c>
      <c r="X24" s="3">
        <v>2</v>
      </c>
      <c r="Y24" s="3">
        <v>7.5</v>
      </c>
      <c r="Z24" s="3">
        <v>4</v>
      </c>
      <c r="AA24" s="9"/>
      <c r="AB24" s="9"/>
      <c r="AC24" s="3">
        <v>5</v>
      </c>
      <c r="AD24" s="3">
        <v>3</v>
      </c>
      <c r="AE24" s="3">
        <v>2</v>
      </c>
      <c r="AF24" s="3">
        <v>5</v>
      </c>
      <c r="AG24" s="3">
        <v>6</v>
      </c>
      <c r="AH24" s="3">
        <f>SUM(C24:AG24)</f>
        <v>79</v>
      </c>
      <c r="AI24" s="16">
        <f>AH24/$AH$34</f>
        <v>0.50158730158730158</v>
      </c>
    </row>
    <row r="25" spans="1:35" ht="19.5" x14ac:dyDescent="0.3">
      <c r="A25" s="37" t="s">
        <v>43</v>
      </c>
      <c r="B25" s="38"/>
      <c r="C25" s="7"/>
      <c r="D25" s="4">
        <f>SUM(D23:D24)</f>
        <v>7.5</v>
      </c>
      <c r="E25" s="4">
        <f>SUM(E23:E24)</f>
        <v>7.5</v>
      </c>
      <c r="F25" s="10"/>
      <c r="G25" s="10"/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4">
        <f>SUM(L23:L24)</f>
        <v>7.5</v>
      </c>
      <c r="M25" s="10"/>
      <c r="N25" s="10"/>
      <c r="O25" s="4">
        <f>SUM(O23:O24)</f>
        <v>7.5</v>
      </c>
      <c r="P25" s="13">
        <f>SUM(P23:P24)</f>
        <v>7.5</v>
      </c>
      <c r="Q25" s="13">
        <f>SUM(Q23:Q24)</f>
        <v>7.5</v>
      </c>
      <c r="R25" s="4">
        <f>SUM(R23:R24)</f>
        <v>7.5</v>
      </c>
      <c r="S25" s="4">
        <f>SUM(S23:S24)</f>
        <v>7.5</v>
      </c>
      <c r="T25" s="10"/>
      <c r="U25" s="10"/>
      <c r="V25" s="7"/>
      <c r="W25" s="4">
        <f>SUM(W23:W24)</f>
        <v>7.5</v>
      </c>
      <c r="X25" s="4">
        <f>SUM(X23:X24)</f>
        <v>7.5</v>
      </c>
      <c r="Y25" s="4">
        <f>SUM(Y23:Y24)</f>
        <v>7.5</v>
      </c>
      <c r="Z25" s="4">
        <f>SUM(Z23:Z24)</f>
        <v>7.5</v>
      </c>
      <c r="AA25" s="10"/>
      <c r="AB25" s="10"/>
      <c r="AC25" s="4">
        <f t="shared" ref="AC25:AH25" si="0">SUM(AC23:AC24)</f>
        <v>7.5</v>
      </c>
      <c r="AD25" s="4">
        <f t="shared" si="0"/>
        <v>7.5</v>
      </c>
      <c r="AE25" s="4">
        <f t="shared" si="0"/>
        <v>7.5</v>
      </c>
      <c r="AF25" s="4">
        <f t="shared" si="0"/>
        <v>7.5</v>
      </c>
      <c r="AG25" s="4">
        <f t="shared" si="0"/>
        <v>7.5</v>
      </c>
      <c r="AH25" s="4">
        <f t="shared" si="0"/>
        <v>157.5</v>
      </c>
      <c r="AI25" s="14">
        <f>AH25/$AH$34</f>
        <v>1</v>
      </c>
    </row>
    <row r="26" spans="1:35" ht="19.5" x14ac:dyDescent="0.3">
      <c r="A26" s="34" t="s">
        <v>44</v>
      </c>
      <c r="B26" s="34"/>
      <c r="C26" s="6"/>
      <c r="D26" s="3">
        <f>7.5-D25</f>
        <v>0</v>
      </c>
      <c r="E26" s="3">
        <f>7.5-E25</f>
        <v>0</v>
      </c>
      <c r="F26" s="9"/>
      <c r="G26" s="9"/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3">
        <f>7.5-L25</f>
        <v>0</v>
      </c>
      <c r="M26" s="9"/>
      <c r="N26" s="9"/>
      <c r="O26" s="3">
        <f>7.5-O25</f>
        <v>0</v>
      </c>
      <c r="P26" s="12">
        <f>7.5-P25</f>
        <v>0</v>
      </c>
      <c r="Q26" s="12">
        <f>7.5-Q25</f>
        <v>0</v>
      </c>
      <c r="R26" s="3">
        <f>7.5-R25</f>
        <v>0</v>
      </c>
      <c r="S26" s="3">
        <f>7.5-S25</f>
        <v>0</v>
      </c>
      <c r="T26" s="9"/>
      <c r="U26" s="9"/>
      <c r="V26" s="6"/>
      <c r="W26" s="3">
        <f>7.5-W25</f>
        <v>0</v>
      </c>
      <c r="X26" s="3">
        <f>7.5-X25</f>
        <v>0</v>
      </c>
      <c r="Y26" s="3">
        <f>7.5-Y25</f>
        <v>0</v>
      </c>
      <c r="Z26" s="3">
        <f>7.5-Z25</f>
        <v>0</v>
      </c>
      <c r="AA26" s="9"/>
      <c r="AB26" s="9"/>
      <c r="AC26" s="3">
        <f>7.5-AC25</f>
        <v>0</v>
      </c>
      <c r="AD26" s="3">
        <f>7.5-AD25</f>
        <v>0</v>
      </c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1">SUM(C26:AG26)</f>
        <v>0</v>
      </c>
    </row>
    <row r="27" spans="1:35" ht="19.5" x14ac:dyDescent="0.3">
      <c r="A27" s="34"/>
      <c r="B27" s="34"/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12"/>
      <c r="Q27" s="12"/>
      <c r="R27" s="3"/>
      <c r="S27" s="3"/>
      <c r="T27" s="9"/>
      <c r="U27" s="9"/>
      <c r="V27" s="6"/>
      <c r="W27" s="3"/>
      <c r="X27" s="3"/>
      <c r="Y27" s="3"/>
      <c r="Z27" s="3"/>
      <c r="AA27" s="9"/>
      <c r="AB27" s="9"/>
      <c r="AC27" s="3"/>
      <c r="AD27" s="3"/>
      <c r="AE27" s="3"/>
      <c r="AF27" s="3"/>
      <c r="AG27" s="3"/>
      <c r="AH27" s="3">
        <f t="shared" si="1"/>
        <v>0</v>
      </c>
    </row>
    <row r="28" spans="1:35" ht="19.5" x14ac:dyDescent="0.3">
      <c r="A28" s="34"/>
      <c r="B28" s="34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12"/>
      <c r="Q28" s="12"/>
      <c r="R28" s="3"/>
      <c r="S28" s="3"/>
      <c r="T28" s="9"/>
      <c r="U28" s="9"/>
      <c r="V28" s="6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3">
      <c r="A29" s="34"/>
      <c r="B29" s="34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12"/>
      <c r="Q29" s="12"/>
      <c r="R29" s="3"/>
      <c r="S29" s="3"/>
      <c r="T29" s="9"/>
      <c r="U29" s="9"/>
      <c r="V29" s="6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34" t="s">
        <v>45</v>
      </c>
      <c r="B30" s="34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12"/>
      <c r="Q30" s="12"/>
      <c r="R30" s="3"/>
      <c r="S30" s="3"/>
      <c r="T30" s="9"/>
      <c r="U30" s="9"/>
      <c r="V30" s="6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34" t="s">
        <v>46</v>
      </c>
      <c r="B31" s="34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12"/>
      <c r="Q31" s="12"/>
      <c r="R31" s="3"/>
      <c r="S31" s="3"/>
      <c r="T31" s="9"/>
      <c r="U31" s="9"/>
      <c r="V31" s="6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34" t="s">
        <v>47</v>
      </c>
      <c r="B32" s="34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12"/>
      <c r="Q32" s="12"/>
      <c r="R32" s="3"/>
      <c r="S32" s="3"/>
      <c r="T32" s="9"/>
      <c r="U32" s="9"/>
      <c r="V32" s="6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3">
      <c r="A33" s="15" t="s">
        <v>48</v>
      </c>
      <c r="B33" s="15"/>
      <c r="C33" s="7"/>
      <c r="D33" s="4">
        <f>SUM(D25:D29)</f>
        <v>7.5</v>
      </c>
      <c r="E33" s="4">
        <f>SUM(E25:E29)</f>
        <v>7.5</v>
      </c>
      <c r="F33" s="10"/>
      <c r="G33" s="10"/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4">
        <f>SUM(L25:L29)</f>
        <v>7.5</v>
      </c>
      <c r="M33" s="10"/>
      <c r="N33" s="10"/>
      <c r="O33" s="4">
        <f>SUM(O25:O29)</f>
        <v>7.5</v>
      </c>
      <c r="P33" s="13">
        <f>SUM(P25:P29)</f>
        <v>7.5</v>
      </c>
      <c r="Q33" s="13">
        <f>SUM(Q25:Q29)</f>
        <v>7.5</v>
      </c>
      <c r="R33" s="4">
        <f>SUM(R25:R29)</f>
        <v>7.5</v>
      </c>
      <c r="S33" s="4">
        <f>SUM(S25:S29)</f>
        <v>7.5</v>
      </c>
      <c r="T33" s="10"/>
      <c r="U33" s="10"/>
      <c r="V33" s="7"/>
      <c r="W33" s="4">
        <f>SUM(W25:W29)</f>
        <v>7.5</v>
      </c>
      <c r="X33" s="4">
        <f>SUM(X25:X29)</f>
        <v>7.5</v>
      </c>
      <c r="Y33" s="4">
        <f>SUM(Y25:Y29)</f>
        <v>7.5</v>
      </c>
      <c r="Z33" s="4">
        <f>SUM(Z25:Z29)</f>
        <v>7.5</v>
      </c>
      <c r="AA33" s="10"/>
      <c r="AB33" s="10"/>
      <c r="AC33" s="4">
        <f t="shared" ref="AC33:AH33" si="2">SUM(AC25:AC29)</f>
        <v>7.5</v>
      </c>
      <c r="AD33" s="4">
        <f t="shared" si="2"/>
        <v>7.5</v>
      </c>
      <c r="AE33" s="4">
        <f t="shared" si="2"/>
        <v>7.5</v>
      </c>
      <c r="AF33" s="4">
        <f t="shared" si="2"/>
        <v>7.5</v>
      </c>
      <c r="AG33" s="4">
        <f t="shared" si="2"/>
        <v>7.5</v>
      </c>
      <c r="AH33" s="4">
        <f t="shared" si="2"/>
        <v>157.5</v>
      </c>
    </row>
    <row r="34" spans="1:34" ht="19.5" x14ac:dyDescent="0.3">
      <c r="A34" s="15" t="s">
        <v>49</v>
      </c>
      <c r="B34" s="15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">
        <f>SUM(AH30:AH33)</f>
        <v>157.5</v>
      </c>
    </row>
    <row r="37" spans="1:34" x14ac:dyDescent="0.25">
      <c r="A37" s="21" t="s">
        <v>50</v>
      </c>
      <c r="B37" s="21" t="s">
        <v>51</v>
      </c>
      <c r="W37" s="24" t="s">
        <v>53</v>
      </c>
      <c r="X37" s="25"/>
      <c r="Y37" s="25"/>
      <c r="Z37" s="25"/>
      <c r="AA37" s="26"/>
      <c r="AB37" s="24" t="s">
        <v>9</v>
      </c>
      <c r="AC37" s="25"/>
      <c r="AD37" s="25"/>
      <c r="AE37" s="26"/>
    </row>
    <row r="38" spans="1:34" x14ac:dyDescent="0.25">
      <c r="A38" s="22"/>
      <c r="B38" s="22"/>
      <c r="W38" s="27"/>
      <c r="X38" s="28"/>
      <c r="Y38" s="28"/>
      <c r="Z38" s="28"/>
      <c r="AA38" s="29"/>
      <c r="AB38" s="27"/>
      <c r="AC38" s="28"/>
      <c r="AD38" s="28"/>
      <c r="AE38" s="29"/>
    </row>
    <row r="39" spans="1:34" ht="19.5" x14ac:dyDescent="0.25">
      <c r="A39" s="23"/>
      <c r="B39" s="17" t="s">
        <v>52</v>
      </c>
      <c r="W39" s="30"/>
      <c r="X39" s="31"/>
      <c r="Y39" s="31"/>
      <c r="Z39" s="31"/>
      <c r="AA39" s="32"/>
      <c r="AB39" s="33">
        <v>45445</v>
      </c>
      <c r="AC39" s="31"/>
      <c r="AD39" s="31"/>
      <c r="AE39" s="32"/>
    </row>
    <row r="41" spans="1:34" ht="19.5" x14ac:dyDescent="0.25">
      <c r="A41" s="18" t="s">
        <v>54</v>
      </c>
      <c r="B41" s="19"/>
    </row>
    <row r="42" spans="1:34" ht="19.5" x14ac:dyDescent="0.3">
      <c r="A42" s="2" t="s">
        <v>55</v>
      </c>
      <c r="B42" s="2" t="s">
        <v>56</v>
      </c>
      <c r="C42" s="2" t="s">
        <v>57</v>
      </c>
      <c r="D42" s="2" t="s">
        <v>58</v>
      </c>
      <c r="E42" s="2" t="s">
        <v>59</v>
      </c>
    </row>
    <row r="43" spans="1:34" x14ac:dyDescent="0.25">
      <c r="A43" t="s">
        <v>60</v>
      </c>
      <c r="B43" t="s">
        <v>63</v>
      </c>
      <c r="C43">
        <v>100</v>
      </c>
      <c r="D43" t="s">
        <v>61</v>
      </c>
      <c r="E43" t="s">
        <v>62</v>
      </c>
    </row>
  </sheetData>
  <mergeCells count="71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A41:B41"/>
    <mergeCell ref="C34:AG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Marta Montoliu Barrachina</cp:lastModifiedBy>
  <dcterms:created xsi:type="dcterms:W3CDTF">2024-09-19T10:40:04Z</dcterms:created>
  <dcterms:modified xsi:type="dcterms:W3CDTF">2024-11-13T12:12:48Z</dcterms:modified>
  <cp:category/>
</cp:coreProperties>
</file>