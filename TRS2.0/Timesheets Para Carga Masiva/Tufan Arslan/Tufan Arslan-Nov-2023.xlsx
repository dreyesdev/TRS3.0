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04824EFD-C4DA-4FC7-88CB-02160314EE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S25" i="1"/>
  <c r="AF24" i="1"/>
  <c r="AE24" i="1"/>
  <c r="AE25" i="1" s="1"/>
  <c r="AD24" i="1"/>
  <c r="AD25" i="1" s="1"/>
  <c r="AC24" i="1"/>
  <c r="AC25" i="1" s="1"/>
  <c r="AC32" i="1" s="1"/>
  <c r="Z24" i="1"/>
  <c r="Z25" i="1" s="1"/>
  <c r="Y24" i="1"/>
  <c r="Y25" i="1" s="1"/>
  <c r="Y32" i="1" s="1"/>
  <c r="X24" i="1"/>
  <c r="W24" i="1"/>
  <c r="W25" i="1" s="1"/>
  <c r="V24" i="1"/>
  <c r="S24" i="1"/>
  <c r="R24" i="1"/>
  <c r="R25" i="1" s="1"/>
  <c r="Q24" i="1"/>
  <c r="Q25" i="1" s="1"/>
  <c r="Q32" i="1" s="1"/>
  <c r="P24" i="1"/>
  <c r="P25" i="1" s="1"/>
  <c r="O24" i="1"/>
  <c r="O25" i="1" s="1"/>
  <c r="O32" i="1" s="1"/>
  <c r="L24" i="1"/>
  <c r="K24" i="1"/>
  <c r="J24" i="1"/>
  <c r="I24" i="1"/>
  <c r="H24" i="1"/>
  <c r="H25" i="1" s="1"/>
  <c r="E24" i="1"/>
  <c r="E25" i="1" s="1"/>
  <c r="E32" i="1" s="1"/>
  <c r="D24" i="1"/>
  <c r="D25" i="1" s="1"/>
  <c r="AG23" i="1"/>
  <c r="AE32" i="1" l="1"/>
  <c r="W32" i="1"/>
  <c r="S32" i="1"/>
  <c r="I32" i="1"/>
  <c r="I25" i="1"/>
  <c r="K25" i="1"/>
  <c r="K32" i="1" s="1"/>
  <c r="J25" i="1"/>
  <c r="J32" i="1" s="1"/>
  <c r="V25" i="1"/>
  <c r="V32" i="1" s="1"/>
  <c r="AF25" i="1"/>
  <c r="AF32" i="1" s="1"/>
  <c r="D32" i="1"/>
  <c r="P32" i="1"/>
  <c r="Z32" i="1"/>
  <c r="AG24" i="1"/>
  <c r="L25" i="1"/>
  <c r="L32" i="1" s="1"/>
  <c r="X25" i="1"/>
  <c r="X32" i="1" s="1"/>
  <c r="H32" i="1"/>
  <c r="R32" i="1"/>
  <c r="AD32" i="1"/>
  <c r="AG25" i="1" l="1"/>
  <c r="AG32" i="1" s="1"/>
  <c r="P16" i="1"/>
  <c r="X16" i="1" s="1"/>
  <c r="H16" i="1" l="1"/>
  <c r="AG33" i="1"/>
  <c r="AH23" i="1" l="1"/>
  <c r="AH24" i="1"/>
</calcChain>
</file>

<file path=xl/sharedStrings.xml><?xml version="1.0" encoding="utf-8"?>
<sst xmlns="http://schemas.openxmlformats.org/spreadsheetml/2006/main" count="76" uniqueCount="52">
  <si>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</si>
  <si>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</si>
  <si>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</si>
  <si>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</si>
  <si>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</si>
  <si>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</si>
  <si>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</si>
  <si>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</si>
  <si>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</si>
  <si>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</si>
  <si>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</si>
  <si>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</si>
  <si>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</si>
  <si>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</si>
  <si>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</si>
  <si>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</si>
  <si>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</si>
  <si>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</si>
  <si>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</si>
  <si>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</si>
  <si>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</si>
  <si>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</si>
  <si>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</si>
  <si>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</si>
  <si>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</si>
  <si>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</si>
  <si>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</si>
  <si>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</si>
  <si>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</si>
  <si>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</si>
  <si>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</si>
  <si>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</si>
  <si>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</si>
  <si>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</si>
  <si>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</si>
  <si>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</si>
  <si>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</si>
  <si>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</si>
  <si>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</si>
  <si>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</si>
  <si>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</si>
  <si>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</si>
  <si>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</si>
  <si>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</si>
  <si>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</si>
  <si>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</si>
  <si>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>2023-12-11</t>
  </si>
  <si>
    <t xml:space="preserve">Date and signature of staff member:	</t>
  </si>
  <si>
    <t>Project Name: Exploitation of Exascale Systems for Open-Source Computational Fluid Dynamics by Mainstream - exaFOAM</t>
  </si>
  <si>
    <t>956416 - PCI2021-121961</t>
  </si>
  <si>
    <t>PE086300 exaFOAM - WP3 Code Refactoring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</si>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</sst>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38"/>
  <sheetViews>
    <sheetView tabSelected="1" zoomScale="60" zoomScaleNormal="60" workbookViewId="0">
      <selection activeCell="J34" sqref="J3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AG32</f>
        <v>157.5</v>
      </c>
      <c r="I16" s="25"/>
      <c r="K16" s="24" t="s">
        <v>18</v>
      </c>
      <c r="L16" s="16"/>
      <c r="M16" s="16"/>
      <c r="N16" s="16"/>
      <c r="O16" s="16"/>
      <c r="P16" s="25">
        <f>AG24</f>
        <v>157.5</v>
      </c>
      <c r="Q16" s="25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4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9" t="s">
        <v>36</v>
      </c>
      <c r="AH19" s="30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2">
        <v>21</v>
      </c>
      <c r="X20" s="2">
        <v>22</v>
      </c>
      <c r="Y20" s="2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9"/>
      <c r="AH20" s="31"/>
    </row>
    <row r="21" spans="1:34" ht="43.5" customHeight="1" x14ac:dyDescent="0.3">
      <c r="A21" s="48" t="s">
        <v>48</v>
      </c>
      <c r="B21" s="48"/>
      <c r="C21" s="26"/>
      <c r="D21" s="27"/>
      <c r="E21" s="27"/>
      <c r="F21" s="28"/>
      <c r="G21" s="28"/>
      <c r="H21" s="27"/>
      <c r="I21" s="27"/>
      <c r="J21" s="27"/>
      <c r="K21" s="27"/>
      <c r="L21" s="27"/>
      <c r="M21" s="28"/>
      <c r="N21" s="28"/>
      <c r="O21" s="27"/>
      <c r="P21" s="27"/>
      <c r="Q21" s="27"/>
      <c r="R21" s="27"/>
      <c r="S21" s="27"/>
      <c r="T21" s="28"/>
      <c r="U21" s="28"/>
      <c r="V21" s="27"/>
      <c r="W21" s="27"/>
      <c r="X21" s="27"/>
      <c r="Y21" s="27"/>
      <c r="Z21" s="27"/>
      <c r="AA21" s="28"/>
      <c r="AB21" s="28"/>
      <c r="AC21" s="27"/>
      <c r="AD21" s="27"/>
      <c r="AE21" s="27"/>
      <c r="AF21" s="27"/>
      <c r="AG21" s="27"/>
      <c r="AH21" s="32"/>
    </row>
    <row r="22" spans="1:34" ht="19.5" x14ac:dyDescent="0.3">
      <c r="A22" s="33" t="s">
        <v>49</v>
      </c>
      <c r="B22" s="33"/>
      <c r="C22" s="26"/>
      <c r="D22" s="27"/>
      <c r="E22" s="27"/>
      <c r="F22" s="28"/>
      <c r="G22" s="28"/>
      <c r="H22" s="27"/>
      <c r="I22" s="27"/>
      <c r="J22" s="27"/>
      <c r="K22" s="27"/>
      <c r="L22" s="27"/>
      <c r="M22" s="28"/>
      <c r="N22" s="28"/>
      <c r="O22" s="27"/>
      <c r="P22" s="27"/>
      <c r="Q22" s="27"/>
      <c r="R22" s="27"/>
      <c r="S22" s="27"/>
      <c r="T22" s="28"/>
      <c r="U22" s="28"/>
      <c r="V22" s="27"/>
      <c r="W22" s="27"/>
      <c r="X22" s="27"/>
      <c r="Y22" s="27"/>
      <c r="Z22" s="27"/>
      <c r="AA22" s="28"/>
      <c r="AB22" s="28"/>
      <c r="AC22" s="27"/>
      <c r="AD22" s="27"/>
      <c r="AE22" s="27"/>
      <c r="AF22" s="27"/>
      <c r="AG22" s="27"/>
      <c r="AH22" s="32"/>
    </row>
    <row r="23" spans="1:34" ht="19.5" x14ac:dyDescent="0.3">
      <c r="A23" s="12" t="s">
        <v>50</v>
      </c>
      <c r="B23" s="12"/>
      <c r="C23" s="6"/>
      <c r="D23" s="3">
        <v>7.5</v>
      </c>
      <c r="E23" s="3">
        <v>7.5</v>
      </c>
      <c r="F23" s="9"/>
      <c r="G23" s="9"/>
      <c r="H23" s="3">
        <v>7.5</v>
      </c>
      <c r="I23" s="3">
        <v>7.5</v>
      </c>
      <c r="J23" s="3">
        <v>7.5</v>
      </c>
      <c r="K23" s="3">
        <v>7.5</v>
      </c>
      <c r="L23" s="3">
        <v>7.5</v>
      </c>
      <c r="M23" s="9"/>
      <c r="N23" s="9"/>
      <c r="O23" s="3">
        <v>7.5</v>
      </c>
      <c r="P23" s="3">
        <v>7.5</v>
      </c>
      <c r="Q23" s="3">
        <v>7.5</v>
      </c>
      <c r="R23" s="3">
        <v>7.5</v>
      </c>
      <c r="S23" s="3">
        <v>7.5</v>
      </c>
      <c r="T23" s="9"/>
      <c r="U23" s="9"/>
      <c r="V23" s="3">
        <v>7.5</v>
      </c>
      <c r="W23" s="3">
        <v>7.5</v>
      </c>
      <c r="X23" s="3">
        <v>7.5</v>
      </c>
      <c r="Y23" s="3">
        <v>7.5</v>
      </c>
      <c r="Z23" s="3">
        <v>7.5</v>
      </c>
      <c r="AA23" s="9"/>
      <c r="AB23" s="9"/>
      <c r="AC23" s="3">
        <v>7.5</v>
      </c>
      <c r="AD23" s="3">
        <v>7.5</v>
      </c>
      <c r="AE23" s="3">
        <v>7.5</v>
      </c>
      <c r="AF23" s="3">
        <v>7.5</v>
      </c>
      <c r="AG23" s="3">
        <f>SUM(C23:AF23)</f>
        <v>157.5</v>
      </c>
      <c r="AH23" s="13">
        <f>AG23/$AG$33</f>
        <v>1</v>
      </c>
    </row>
    <row r="24" spans="1:34" ht="19.5" x14ac:dyDescent="0.3">
      <c r="A24" s="34" t="s">
        <v>51</v>
      </c>
      <c r="B24" s="35"/>
      <c r="C24" s="7"/>
      <c r="D24" s="4">
        <f>SUM(D23:D23)</f>
        <v>7.5</v>
      </c>
      <c r="E24" s="4">
        <f>SUM(E23:E23)</f>
        <v>7.5</v>
      </c>
      <c r="F24" s="10"/>
      <c r="G24" s="10"/>
      <c r="H24" s="4">
        <f>SUM(H23:H23)</f>
        <v>7.5</v>
      </c>
      <c r="I24" s="4">
        <f>SUM(I23:I23)</f>
        <v>7.5</v>
      </c>
      <c r="J24" s="4">
        <f>SUM(J23:J23)</f>
        <v>7.5</v>
      </c>
      <c r="K24" s="4">
        <f>SUM(K23:K23)</f>
        <v>7.5</v>
      </c>
      <c r="L24" s="4">
        <f>SUM(L23:L23)</f>
        <v>7.5</v>
      </c>
      <c r="M24" s="10"/>
      <c r="N24" s="10"/>
      <c r="O24" s="4">
        <f>SUM(O23:O23)</f>
        <v>7.5</v>
      </c>
      <c r="P24" s="4">
        <f>SUM(P23:P23)</f>
        <v>7.5</v>
      </c>
      <c r="Q24" s="4">
        <f>SUM(Q23:Q23)</f>
        <v>7.5</v>
      </c>
      <c r="R24" s="4">
        <f>SUM(R23:R23)</f>
        <v>7.5</v>
      </c>
      <c r="S24" s="4">
        <f>SUM(S23:S23)</f>
        <v>7.5</v>
      </c>
      <c r="T24" s="10"/>
      <c r="U24" s="10"/>
      <c r="V24" s="4">
        <f>SUM(V23:V23)</f>
        <v>7.5</v>
      </c>
      <c r="W24" s="4">
        <f>SUM(W23:W23)</f>
        <v>7.5</v>
      </c>
      <c r="X24" s="4">
        <f>SUM(X23:X23)</f>
        <v>7.5</v>
      </c>
      <c r="Y24" s="4">
        <f>SUM(Y23:Y23)</f>
        <v>7.5</v>
      </c>
      <c r="Z24" s="4">
        <f>SUM(Z23:Z23)</f>
        <v>7.5</v>
      </c>
      <c r="AA24" s="10"/>
      <c r="AB24" s="10"/>
      <c r="AC24" s="4">
        <f>SUM(AC23:AC23)</f>
        <v>7.5</v>
      </c>
      <c r="AD24" s="4">
        <f>SUM(AD23:AD23)</f>
        <v>7.5</v>
      </c>
      <c r="AE24" s="4">
        <f>SUM(AE23:AE23)</f>
        <v>7.5</v>
      </c>
      <c r="AF24" s="4">
        <f>SUM(AF23:AF23)</f>
        <v>7.5</v>
      </c>
      <c r="AG24" s="4">
        <f>SUM(AG23:AG23)</f>
        <v>157.5</v>
      </c>
      <c r="AH24" s="11">
        <f>AG24/$AG$33</f>
        <v>1</v>
      </c>
    </row>
    <row r="25" spans="1:34" ht="19.5" x14ac:dyDescent="0.3">
      <c r="A25" s="36" t="s">
        <v>38</v>
      </c>
      <c r="B25" s="36"/>
      <c r="C25" s="6"/>
      <c r="D25" s="3">
        <f>7.5-D24</f>
        <v>0</v>
      </c>
      <c r="E25" s="3">
        <f>7.5-E24</f>
        <v>0</v>
      </c>
      <c r="F25" s="9"/>
      <c r="G25" s="9"/>
      <c r="H25" s="3">
        <f>7.5-H24</f>
        <v>0</v>
      </c>
      <c r="I25" s="3">
        <f>7.5-I24</f>
        <v>0</v>
      </c>
      <c r="J25" s="3">
        <f>7.5-J24</f>
        <v>0</v>
      </c>
      <c r="K25" s="3">
        <f>7.5-K24</f>
        <v>0</v>
      </c>
      <c r="L25" s="3">
        <f>7.5-L24</f>
        <v>0</v>
      </c>
      <c r="M25" s="9"/>
      <c r="N25" s="9"/>
      <c r="O25" s="3">
        <f>7.5-O24</f>
        <v>0</v>
      </c>
      <c r="P25" s="3">
        <f>7.5-P24</f>
        <v>0</v>
      </c>
      <c r="Q25" s="3">
        <f>7.5-Q24</f>
        <v>0</v>
      </c>
      <c r="R25" s="3">
        <f>7.5-R24</f>
        <v>0</v>
      </c>
      <c r="S25" s="3">
        <f>7.5-S24</f>
        <v>0</v>
      </c>
      <c r="T25" s="9"/>
      <c r="U25" s="9"/>
      <c r="V25" s="3">
        <f>7.5-V24</f>
        <v>0</v>
      </c>
      <c r="W25" s="3">
        <f>7.5-W24</f>
        <v>0</v>
      </c>
      <c r="X25" s="3">
        <f>7.5-X24</f>
        <v>0</v>
      </c>
      <c r="Y25" s="3">
        <f>7.5-Y24</f>
        <v>0</v>
      </c>
      <c r="Z25" s="3">
        <f>7.5-Z24</f>
        <v>0</v>
      </c>
      <c r="AA25" s="9"/>
      <c r="AB25" s="9"/>
      <c r="AC25" s="3">
        <f>7.5-AC24</f>
        <v>0</v>
      </c>
      <c r="AD25" s="3">
        <f>7.5-AD24</f>
        <v>0</v>
      </c>
      <c r="AE25" s="3">
        <f>7.5-AE24</f>
        <v>0</v>
      </c>
      <c r="AF25" s="3">
        <f>7.5-AF24</f>
        <v>0</v>
      </c>
      <c r="AG25" s="3">
        <f t="shared" ref="AG25:AG31" si="0">SUM(C25:AF25)</f>
        <v>0</v>
      </c>
    </row>
    <row r="26" spans="1:34" ht="19.5" x14ac:dyDescent="0.3">
      <c r="A26" s="36"/>
      <c r="B26" s="36"/>
      <c r="C26" s="6"/>
      <c r="D26" s="3"/>
      <c r="E26" s="3"/>
      <c r="F26" s="9"/>
      <c r="G26" s="9"/>
      <c r="H26" s="3"/>
      <c r="I26" s="3"/>
      <c r="J26" s="3"/>
      <c r="K26" s="3"/>
      <c r="L26" s="3"/>
      <c r="M26" s="9"/>
      <c r="N26" s="9"/>
      <c r="O26" s="3"/>
      <c r="P26" s="3"/>
      <c r="Q26" s="3"/>
      <c r="R26" s="3"/>
      <c r="S26" s="3"/>
      <c r="T26" s="9"/>
      <c r="U26" s="9"/>
      <c r="V26" s="3"/>
      <c r="W26" s="3"/>
      <c r="X26" s="3"/>
      <c r="Y26" s="3"/>
      <c r="Z26" s="3"/>
      <c r="AA26" s="9"/>
      <c r="AB26" s="9"/>
      <c r="AC26" s="3"/>
      <c r="AD26" s="3"/>
      <c r="AE26" s="3"/>
      <c r="AF26" s="3"/>
      <c r="AG26" s="3">
        <f t="shared" si="0"/>
        <v>0</v>
      </c>
    </row>
    <row r="27" spans="1:34" ht="19.5" x14ac:dyDescent="0.3">
      <c r="A27" s="36"/>
      <c r="B27" s="36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3"/>
      <c r="S27" s="3"/>
      <c r="T27" s="9"/>
      <c r="U27" s="9"/>
      <c r="V27" s="3"/>
      <c r="W27" s="3"/>
      <c r="X27" s="3"/>
      <c r="Y27" s="3"/>
      <c r="Z27" s="3"/>
      <c r="AA27" s="9"/>
      <c r="AB27" s="9"/>
      <c r="AC27" s="3"/>
      <c r="AD27" s="3"/>
      <c r="AE27" s="3"/>
      <c r="AF27" s="3"/>
      <c r="AG27" s="3">
        <f t="shared" si="0"/>
        <v>0</v>
      </c>
    </row>
    <row r="28" spans="1:34" ht="19.5" x14ac:dyDescent="0.3">
      <c r="A28" s="36"/>
      <c r="B28" s="36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3"/>
      <c r="S28" s="3"/>
      <c r="T28" s="9"/>
      <c r="U28" s="9"/>
      <c r="V28" s="3"/>
      <c r="W28" s="3"/>
      <c r="X28" s="3"/>
      <c r="Y28" s="3"/>
      <c r="Z28" s="3"/>
      <c r="AA28" s="9"/>
      <c r="AB28" s="9"/>
      <c r="AC28" s="3"/>
      <c r="AD28" s="3"/>
      <c r="AE28" s="3"/>
      <c r="AF28" s="3"/>
      <c r="AG28" s="3">
        <f t="shared" si="0"/>
        <v>0</v>
      </c>
    </row>
    <row r="29" spans="1:34" ht="19.5" x14ac:dyDescent="0.3">
      <c r="A29" s="36" t="s">
        <v>39</v>
      </c>
      <c r="B29" s="36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3"/>
      <c r="S29" s="3"/>
      <c r="T29" s="9"/>
      <c r="U29" s="9"/>
      <c r="V29" s="3"/>
      <c r="W29" s="3"/>
      <c r="X29" s="3"/>
      <c r="Y29" s="3"/>
      <c r="Z29" s="3"/>
      <c r="AA29" s="9"/>
      <c r="AB29" s="9"/>
      <c r="AC29" s="3"/>
      <c r="AD29" s="3"/>
      <c r="AE29" s="3"/>
      <c r="AF29" s="3"/>
      <c r="AG29" s="3">
        <f t="shared" si="0"/>
        <v>0</v>
      </c>
    </row>
    <row r="30" spans="1:34" ht="19.5" x14ac:dyDescent="0.3">
      <c r="A30" s="36" t="s">
        <v>40</v>
      </c>
      <c r="B30" s="36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3"/>
      <c r="S30" s="3"/>
      <c r="T30" s="9"/>
      <c r="U30" s="9"/>
      <c r="V30" s="3"/>
      <c r="W30" s="3"/>
      <c r="X30" s="3"/>
      <c r="Y30" s="3"/>
      <c r="Z30" s="3"/>
      <c r="AA30" s="9"/>
      <c r="AB30" s="9"/>
      <c r="AC30" s="3"/>
      <c r="AD30" s="3"/>
      <c r="AE30" s="3"/>
      <c r="AF30" s="3"/>
      <c r="AG30" s="3">
        <f t="shared" si="0"/>
        <v>0</v>
      </c>
    </row>
    <row r="31" spans="1:34" ht="19.5" x14ac:dyDescent="0.3">
      <c r="A31" s="36" t="s">
        <v>41</v>
      </c>
      <c r="B31" s="36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3"/>
      <c r="X31" s="3"/>
      <c r="Y31" s="3"/>
      <c r="Z31" s="3"/>
      <c r="AA31" s="9"/>
      <c r="AB31" s="9"/>
      <c r="AC31" s="3"/>
      <c r="AD31" s="3"/>
      <c r="AE31" s="3"/>
      <c r="AF31" s="3"/>
      <c r="AG31" s="3">
        <f t="shared" si="0"/>
        <v>0</v>
      </c>
    </row>
    <row r="32" spans="1:34" ht="19.5" x14ac:dyDescent="0.3">
      <c r="A32" s="12" t="s">
        <v>42</v>
      </c>
      <c r="B32" s="12"/>
      <c r="C32" s="7"/>
      <c r="D32" s="4">
        <f>SUM(D24:D28)</f>
        <v>7.5</v>
      </c>
      <c r="E32" s="4">
        <f>SUM(E24:E28)</f>
        <v>7.5</v>
      </c>
      <c r="F32" s="10"/>
      <c r="G32" s="10"/>
      <c r="H32" s="4">
        <f>SUM(H24:H28)</f>
        <v>7.5</v>
      </c>
      <c r="I32" s="4">
        <f>SUM(I24:I28)</f>
        <v>7.5</v>
      </c>
      <c r="J32" s="4">
        <f>SUM(J24:J28)</f>
        <v>7.5</v>
      </c>
      <c r="K32" s="4">
        <f>SUM(K24:K28)</f>
        <v>7.5</v>
      </c>
      <c r="L32" s="4">
        <f>SUM(L24:L28)</f>
        <v>7.5</v>
      </c>
      <c r="M32" s="10"/>
      <c r="N32" s="10"/>
      <c r="O32" s="4">
        <f>SUM(O24:O28)</f>
        <v>7.5</v>
      </c>
      <c r="P32" s="4">
        <f>SUM(P24:P28)</f>
        <v>7.5</v>
      </c>
      <c r="Q32" s="4">
        <f>SUM(Q24:Q28)</f>
        <v>7.5</v>
      </c>
      <c r="R32" s="4">
        <f>SUM(R24:R28)</f>
        <v>7.5</v>
      </c>
      <c r="S32" s="4">
        <f>SUM(S24:S28)</f>
        <v>7.5</v>
      </c>
      <c r="T32" s="10"/>
      <c r="U32" s="10"/>
      <c r="V32" s="4">
        <f>SUM(V24:V28)</f>
        <v>7.5</v>
      </c>
      <c r="W32" s="4">
        <f>SUM(W24:W28)</f>
        <v>7.5</v>
      </c>
      <c r="X32" s="4">
        <f>SUM(X24:X28)</f>
        <v>7.5</v>
      </c>
      <c r="Y32" s="4">
        <f>SUM(Y24:Y28)</f>
        <v>7.5</v>
      </c>
      <c r="Z32" s="4">
        <f>SUM(Z24:Z28)</f>
        <v>7.5</v>
      </c>
      <c r="AA32" s="10"/>
      <c r="AB32" s="10"/>
      <c r="AC32" s="4">
        <f>SUM(AC24:AC28)</f>
        <v>7.5</v>
      </c>
      <c r="AD32" s="4">
        <f>SUM(AD24:AD28)</f>
        <v>7.5</v>
      </c>
      <c r="AE32" s="4">
        <f>SUM(AE24:AE28)</f>
        <v>7.5</v>
      </c>
      <c r="AF32" s="4">
        <f>SUM(AF24:AF28)</f>
        <v>7.5</v>
      </c>
      <c r="AG32" s="4">
        <f>SUM(AG24:AG28)</f>
        <v>157.5</v>
      </c>
    </row>
    <row r="33" spans="1:33" ht="19.5" x14ac:dyDescent="0.3">
      <c r="A33" s="12" t="s">
        <v>43</v>
      </c>
      <c r="B33" s="12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">
        <f>SUM(AG29:AG32)</f>
        <v>157.5</v>
      </c>
    </row>
    <row r="36" spans="1:33" x14ac:dyDescent="0.25">
      <c r="A36" s="30" t="s">
        <v>44</v>
      </c>
      <c r="B36" s="30" t="s">
        <v>45</v>
      </c>
      <c r="W36" s="38" t="s">
        <v>47</v>
      </c>
      <c r="X36" s="39"/>
      <c r="Y36" s="39"/>
      <c r="Z36" s="39"/>
      <c r="AA36" s="40"/>
      <c r="AB36" s="38" t="s">
        <v>9</v>
      </c>
      <c r="AC36" s="39"/>
      <c r="AD36" s="39"/>
      <c r="AE36" s="40"/>
    </row>
    <row r="37" spans="1:33" x14ac:dyDescent="0.25">
      <c r="A37" s="37"/>
      <c r="B37" s="37"/>
      <c r="W37" s="41"/>
      <c r="X37" s="42"/>
      <c r="Y37" s="42"/>
      <c r="Z37" s="42"/>
      <c r="AA37" s="43"/>
      <c r="AB37" s="41"/>
      <c r="AC37" s="42"/>
      <c r="AD37" s="42"/>
      <c r="AE37" s="43"/>
    </row>
    <row r="38" spans="1:33" ht="19.5" x14ac:dyDescent="0.25">
      <c r="A38" s="31"/>
      <c r="B38" s="14" t="s">
        <v>46</v>
      </c>
      <c r="W38" s="44"/>
      <c r="X38" s="45"/>
      <c r="Y38" s="45"/>
      <c r="Z38" s="45"/>
      <c r="AA38" s="46"/>
      <c r="AB38" s="47">
        <v>45264</v>
      </c>
      <c r="AC38" s="45"/>
      <c r="AD38" s="45"/>
      <c r="AE38" s="46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2024-04-05T12:59:21Z</cp:lastPrinted>
  <dcterms:created xsi:type="dcterms:W3CDTF">2024-04-05T09:12:27Z</dcterms:created>
  <dcterms:modified xsi:type="dcterms:W3CDTF">2024-04-05T12:59:23Z</dcterms:modified>
  <cp:category/>
</cp:coreProperties>
</file>