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8583662A-5669-4292-AFC2-C70DD2CAE7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D25" i="1"/>
  <c r="AD24" i="1"/>
  <c r="AC24" i="1"/>
  <c r="AC25" i="1" s="1"/>
  <c r="AB24" i="1"/>
  <c r="AB25" i="1" s="1"/>
  <c r="AA24" i="1"/>
  <c r="AA25" i="1" s="1"/>
  <c r="Z24" i="1"/>
  <c r="Z25" i="1" s="1"/>
  <c r="Z32" i="1" s="1"/>
  <c r="W24" i="1"/>
  <c r="W25" i="1" s="1"/>
  <c r="W32" i="1" s="1"/>
  <c r="V24" i="1"/>
  <c r="U24" i="1"/>
  <c r="T24" i="1"/>
  <c r="S24" i="1"/>
  <c r="P24" i="1"/>
  <c r="P25" i="1" s="1"/>
  <c r="O24" i="1"/>
  <c r="O25" i="1" s="1"/>
  <c r="H24" i="1"/>
  <c r="H25" i="1" s="1"/>
  <c r="AG23" i="1"/>
  <c r="AC32" i="1" l="1"/>
  <c r="AD32" i="1"/>
  <c r="S25" i="1"/>
  <c r="S32" i="1" s="1"/>
  <c r="T32" i="1"/>
  <c r="T25" i="1"/>
  <c r="H32" i="1"/>
  <c r="U25" i="1"/>
  <c r="AG25" i="1" s="1"/>
  <c r="O32" i="1"/>
  <c r="AA32" i="1"/>
  <c r="AG24" i="1"/>
  <c r="V25" i="1"/>
  <c r="V32" i="1" s="1"/>
  <c r="P32" i="1"/>
  <c r="AB32" i="1"/>
  <c r="U32" i="1" l="1"/>
  <c r="AG32" i="1"/>
  <c r="P16" i="1"/>
  <c r="X16" i="1" s="1"/>
  <c r="H16" i="1" l="1"/>
  <c r="AG33" i="1"/>
  <c r="AH23" i="1" l="1"/>
  <c r="AH24" i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<sst xmlns="http://schemas.openxmlformats.org/spreadsheetml/2006/main" count="76" uniqueCount="52">
  <si>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</si>
  <si>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</si>
  <si>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</si>
  <si>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</si>
  <si>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</si>
  <si>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</si>
  <si>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</si>
  <si>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</si>
  <si>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</si>
  <si>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</si>
  <si>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</si>
  <si>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</si>
  <si>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</si>
  <si>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</si>
  <si>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</si>
  <si>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</si>
  <si>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</si>
  <si>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</si>
  <si>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</si>
  <si>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</si>
  <si>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</si>
  <si>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</si>
  <si>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</si>
  <si>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</si>
  <si>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</si>
  <si>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</si>
  <si>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</si>
  <si>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</si>
  <si>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</si>
  <si>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</si>
  <si>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</si>
  <si>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</si>
  <si>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</si>
  <si>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</si>
  <si>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</si>
  <si>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</si>
  <si>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</si>
  <si>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</si>
  <si>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</si>
  <si>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</si>
  <si>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</si>
  <si>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</si>
  <si>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</si>
  <si>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</si>
  <si>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</si>
  <si>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</si>
  <si>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</si>
  <si>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2023-05-26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</si>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</sst>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8"/>
  <sheetViews>
    <sheetView tabSelected="1" zoomScale="70" zoomScaleNormal="70" workbookViewId="0">
      <selection activeCell="A27" sqref="A27:B27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3" t="s">
        <v>1</v>
      </c>
      <c r="D2" s="23"/>
      <c r="E2" s="23"/>
    </row>
    <row r="4" spans="1:33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3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8" spans="1:33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9.5" x14ac:dyDescent="0.3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6" spans="1:33" ht="19.5" x14ac:dyDescent="0.3">
      <c r="F16" s="30" t="s">
        <v>17</v>
      </c>
      <c r="G16" s="22"/>
      <c r="H16" s="31">
        <f>AG32</f>
        <v>97.5</v>
      </c>
      <c r="I16" s="31"/>
      <c r="K16" s="30" t="s">
        <v>18</v>
      </c>
      <c r="L16" s="22"/>
      <c r="M16" s="22"/>
      <c r="N16" s="22"/>
      <c r="O16" s="22"/>
      <c r="P16" s="31">
        <f>AG24</f>
        <v>97.5</v>
      </c>
      <c r="Q16" s="31"/>
      <c r="S16" s="30" t="s">
        <v>19</v>
      </c>
      <c r="T16" s="22"/>
      <c r="U16" s="22"/>
      <c r="V16" s="22"/>
      <c r="W16" s="22"/>
      <c r="X16" s="31">
        <f>(P16/7.5) *1</f>
        <v>13</v>
      </c>
      <c r="Y16" s="31"/>
    </row>
    <row r="19" spans="1:34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8" t="s">
        <v>28</v>
      </c>
      <c r="H19" s="2" t="s">
        <v>30</v>
      </c>
      <c r="I19" s="11" t="s">
        <v>32</v>
      </c>
      <c r="J19" s="5" t="s">
        <v>20</v>
      </c>
      <c r="K19" s="5" t="s">
        <v>22</v>
      </c>
      <c r="L19" s="11" t="s">
        <v>24</v>
      </c>
      <c r="M19" s="14" t="s">
        <v>26</v>
      </c>
      <c r="N19" s="14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7" t="s">
        <v>36</v>
      </c>
      <c r="AH19" s="38" t="s">
        <v>37</v>
      </c>
    </row>
    <row r="20" spans="1:34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8" t="s">
        <v>29</v>
      </c>
      <c r="H20" s="2" t="s">
        <v>31</v>
      </c>
      <c r="I20" s="11" t="s">
        <v>33</v>
      </c>
      <c r="J20" s="5" t="s">
        <v>34</v>
      </c>
      <c r="K20" s="5" t="s">
        <v>35</v>
      </c>
      <c r="L20" s="11">
        <v>10</v>
      </c>
      <c r="M20" s="14">
        <v>11</v>
      </c>
      <c r="N20" s="14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7"/>
      <c r="AH20" s="39"/>
    </row>
    <row r="21" spans="1:34" ht="39" customHeight="1" x14ac:dyDescent="0.3">
      <c r="A21" s="56" t="s">
        <v>49</v>
      </c>
      <c r="B21" s="56"/>
      <c r="C21" s="32"/>
      <c r="D21" s="32"/>
      <c r="E21" s="33"/>
      <c r="F21" s="33"/>
      <c r="G21" s="33"/>
      <c r="H21" s="34"/>
      <c r="I21" s="35"/>
      <c r="J21" s="32"/>
      <c r="K21" s="32"/>
      <c r="L21" s="35"/>
      <c r="M21" s="36"/>
      <c r="N21" s="36"/>
      <c r="O21" s="34"/>
      <c r="P21" s="34"/>
      <c r="Q21" s="32"/>
      <c r="R21" s="32"/>
      <c r="S21" s="34"/>
      <c r="T21" s="34"/>
      <c r="U21" s="34"/>
      <c r="V21" s="34"/>
      <c r="W21" s="34"/>
      <c r="X21" s="32"/>
      <c r="Y21" s="32"/>
      <c r="Z21" s="34"/>
      <c r="AA21" s="34"/>
      <c r="AB21" s="34"/>
      <c r="AC21" s="34"/>
      <c r="AD21" s="34"/>
      <c r="AE21" s="32"/>
      <c r="AF21" s="32"/>
      <c r="AG21" s="34"/>
      <c r="AH21" s="40"/>
    </row>
    <row r="22" spans="1:34" ht="19.5" x14ac:dyDescent="0.3">
      <c r="A22" s="41" t="s">
        <v>50</v>
      </c>
      <c r="B22" s="41"/>
      <c r="C22" s="32"/>
      <c r="D22" s="32"/>
      <c r="E22" s="33"/>
      <c r="F22" s="33"/>
      <c r="G22" s="33"/>
      <c r="H22" s="34"/>
      <c r="I22" s="35"/>
      <c r="J22" s="32"/>
      <c r="K22" s="32"/>
      <c r="L22" s="35"/>
      <c r="M22" s="36"/>
      <c r="N22" s="36"/>
      <c r="O22" s="34"/>
      <c r="P22" s="34"/>
      <c r="Q22" s="32"/>
      <c r="R22" s="32"/>
      <c r="S22" s="34"/>
      <c r="T22" s="34"/>
      <c r="U22" s="34"/>
      <c r="V22" s="34"/>
      <c r="W22" s="34"/>
      <c r="X22" s="32"/>
      <c r="Y22" s="32"/>
      <c r="Z22" s="34"/>
      <c r="AA22" s="34"/>
      <c r="AB22" s="34"/>
      <c r="AC22" s="34"/>
      <c r="AD22" s="34"/>
      <c r="AE22" s="32"/>
      <c r="AF22" s="32"/>
      <c r="AG22" s="34"/>
      <c r="AH22" s="40"/>
    </row>
    <row r="23" spans="1:34" ht="19.5" x14ac:dyDescent="0.3">
      <c r="A23" s="18" t="s">
        <v>38</v>
      </c>
      <c r="B23" s="18"/>
      <c r="C23" s="6"/>
      <c r="D23" s="6"/>
      <c r="E23" s="9"/>
      <c r="F23" s="9"/>
      <c r="G23" s="9"/>
      <c r="H23" s="3">
        <v>7.5</v>
      </c>
      <c r="I23" s="12"/>
      <c r="J23" s="6"/>
      <c r="K23" s="6"/>
      <c r="L23" s="12"/>
      <c r="M23" s="15"/>
      <c r="N23" s="15"/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3">
        <v>7.5</v>
      </c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f>SUM(C23:AF23)</f>
        <v>97.5</v>
      </c>
      <c r="AH23" s="19">
        <f>AG23/$AG$33</f>
        <v>0.8666666666666667</v>
      </c>
    </row>
    <row r="24" spans="1:34" ht="19.5" x14ac:dyDescent="0.3">
      <c r="A24" s="42" t="s">
        <v>51</v>
      </c>
      <c r="B24" s="43"/>
      <c r="C24" s="7"/>
      <c r="D24" s="7"/>
      <c r="E24" s="10"/>
      <c r="F24" s="10"/>
      <c r="G24" s="10"/>
      <c r="H24" s="4">
        <f>SUM(H23:H23)</f>
        <v>7.5</v>
      </c>
      <c r="I24" s="13"/>
      <c r="J24" s="7"/>
      <c r="K24" s="7"/>
      <c r="L24" s="13"/>
      <c r="M24" s="16"/>
      <c r="N24" s="16"/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4">
        <f>SUM(Z23:Z23)</f>
        <v>7.5</v>
      </c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7"/>
      <c r="AF24" s="7"/>
      <c r="AG24" s="4">
        <f>SUM(AG23:AG23)</f>
        <v>97.5</v>
      </c>
      <c r="AH24" s="17">
        <f>AG24/$AG$33</f>
        <v>0.8666666666666667</v>
      </c>
    </row>
    <row r="25" spans="1:34" ht="19.5" x14ac:dyDescent="0.3">
      <c r="A25" s="44" t="s">
        <v>39</v>
      </c>
      <c r="B25" s="44"/>
      <c r="C25" s="6"/>
      <c r="D25" s="6"/>
      <c r="E25" s="9"/>
      <c r="F25" s="9"/>
      <c r="G25" s="9"/>
      <c r="H25" s="3">
        <f>7.5-H24</f>
        <v>0</v>
      </c>
      <c r="I25" s="12"/>
      <c r="J25" s="6"/>
      <c r="K25" s="6"/>
      <c r="L25" s="12"/>
      <c r="M25" s="15"/>
      <c r="N25" s="15"/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3">
        <f>7.5-Z24</f>
        <v>0</v>
      </c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6"/>
      <c r="AF25" s="6"/>
      <c r="AG25" s="3">
        <f t="shared" ref="AG25:AG31" si="0">SUM(C25:AF25)</f>
        <v>0</v>
      </c>
    </row>
    <row r="26" spans="1:34" ht="19.5" x14ac:dyDescent="0.3">
      <c r="A26" s="44"/>
      <c r="B26" s="44"/>
      <c r="C26" s="6"/>
      <c r="D26" s="6"/>
      <c r="E26" s="9"/>
      <c r="F26" s="9"/>
      <c r="G26" s="9"/>
      <c r="H26" s="3"/>
      <c r="I26" s="12"/>
      <c r="J26" s="6"/>
      <c r="K26" s="6"/>
      <c r="L26" s="12"/>
      <c r="M26" s="15"/>
      <c r="N26" s="15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3"/>
      <c r="AC26" s="3"/>
      <c r="AD26" s="3"/>
      <c r="AE26" s="6"/>
      <c r="AF26" s="6"/>
      <c r="AG26" s="3">
        <f t="shared" si="0"/>
        <v>0</v>
      </c>
    </row>
    <row r="27" spans="1:34" ht="19.5" x14ac:dyDescent="0.3">
      <c r="A27" s="44"/>
      <c r="B27" s="44"/>
      <c r="C27" s="6"/>
      <c r="D27" s="6"/>
      <c r="E27" s="9"/>
      <c r="F27" s="9"/>
      <c r="G27" s="9"/>
      <c r="H27" s="3"/>
      <c r="I27" s="12"/>
      <c r="J27" s="6"/>
      <c r="K27" s="6"/>
      <c r="L27" s="12"/>
      <c r="M27" s="15"/>
      <c r="N27" s="15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44"/>
      <c r="B28" s="44"/>
      <c r="C28" s="6"/>
      <c r="D28" s="6"/>
      <c r="E28" s="9"/>
      <c r="F28" s="9"/>
      <c r="G28" s="9"/>
      <c r="H28" s="3"/>
      <c r="I28" s="12"/>
      <c r="J28" s="6"/>
      <c r="K28" s="6"/>
      <c r="L28" s="12"/>
      <c r="M28" s="15"/>
      <c r="N28" s="15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44" t="s">
        <v>40</v>
      </c>
      <c r="B29" s="44"/>
      <c r="C29" s="6"/>
      <c r="D29" s="6"/>
      <c r="E29" s="9"/>
      <c r="F29" s="9"/>
      <c r="G29" s="9"/>
      <c r="H29" s="3"/>
      <c r="I29" s="12"/>
      <c r="J29" s="6"/>
      <c r="K29" s="6"/>
      <c r="L29" s="12"/>
      <c r="M29" s="15"/>
      <c r="N29" s="15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44" t="s">
        <v>41</v>
      </c>
      <c r="B30" s="44"/>
      <c r="C30" s="6"/>
      <c r="D30" s="6"/>
      <c r="E30" s="9"/>
      <c r="F30" s="9"/>
      <c r="G30" s="9"/>
      <c r="H30" s="3"/>
      <c r="I30" s="12"/>
      <c r="J30" s="6"/>
      <c r="K30" s="6"/>
      <c r="L30" s="12"/>
      <c r="M30" s="15">
        <v>7.5</v>
      </c>
      <c r="N30" s="15">
        <v>7.5</v>
      </c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0"/>
        <v>15</v>
      </c>
    </row>
    <row r="31" spans="1:34" ht="19.5" x14ac:dyDescent="0.3">
      <c r="A31" s="44" t="s">
        <v>42</v>
      </c>
      <c r="B31" s="44"/>
      <c r="C31" s="6"/>
      <c r="D31" s="6"/>
      <c r="E31" s="9"/>
      <c r="F31" s="9"/>
      <c r="G31" s="9"/>
      <c r="H31" s="3"/>
      <c r="I31" s="12"/>
      <c r="J31" s="6"/>
      <c r="K31" s="6"/>
      <c r="L31" s="12"/>
      <c r="M31" s="15"/>
      <c r="N31" s="15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8" t="s">
        <v>43</v>
      </c>
      <c r="B32" s="18"/>
      <c r="C32" s="7"/>
      <c r="D32" s="7"/>
      <c r="E32" s="10"/>
      <c r="F32" s="10"/>
      <c r="G32" s="10"/>
      <c r="H32" s="4">
        <f>SUM(H24:H28)</f>
        <v>7.5</v>
      </c>
      <c r="I32" s="13"/>
      <c r="J32" s="7"/>
      <c r="K32" s="7"/>
      <c r="L32" s="13"/>
      <c r="M32" s="16"/>
      <c r="N32" s="16"/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4">
        <f>SUM(Z24:Z28)</f>
        <v>7.5</v>
      </c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7"/>
      <c r="AF32" s="7"/>
      <c r="AG32" s="4">
        <f>SUM(AG24:AG28)</f>
        <v>97.5</v>
      </c>
    </row>
    <row r="33" spans="1:33" ht="19.5" x14ac:dyDescent="0.3">
      <c r="A33" s="18" t="s">
        <v>44</v>
      </c>
      <c r="B33" s="18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2">
        <f>SUM(AG29:AG32)</f>
        <v>112.5</v>
      </c>
    </row>
    <row r="36" spans="1:33" x14ac:dyDescent="0.25">
      <c r="A36" s="38" t="s">
        <v>45</v>
      </c>
      <c r="B36" s="38" t="s">
        <v>46</v>
      </c>
      <c r="W36" s="46" t="s">
        <v>48</v>
      </c>
      <c r="X36" s="47"/>
      <c r="Y36" s="47"/>
      <c r="Z36" s="47"/>
      <c r="AA36" s="48"/>
      <c r="AB36" s="46" t="s">
        <v>9</v>
      </c>
      <c r="AC36" s="47"/>
      <c r="AD36" s="47"/>
      <c r="AE36" s="48"/>
    </row>
    <row r="37" spans="1:33" x14ac:dyDescent="0.25">
      <c r="A37" s="45"/>
      <c r="B37" s="45"/>
      <c r="W37" s="49"/>
      <c r="X37" s="50"/>
      <c r="Y37" s="50"/>
      <c r="Z37" s="50"/>
      <c r="AA37" s="51"/>
      <c r="AB37" s="49"/>
      <c r="AC37" s="50"/>
      <c r="AD37" s="50"/>
      <c r="AE37" s="51"/>
    </row>
    <row r="38" spans="1:33" ht="19.5" x14ac:dyDescent="0.25">
      <c r="A38" s="39"/>
      <c r="B38" s="20" t="s">
        <v>47</v>
      </c>
      <c r="W38" s="52"/>
      <c r="X38" s="53"/>
      <c r="Y38" s="53"/>
      <c r="Z38" s="53"/>
      <c r="AA38" s="54"/>
      <c r="AB38" s="55">
        <v>45063</v>
      </c>
      <c r="AC38" s="53"/>
      <c r="AD38" s="53"/>
      <c r="AE38" s="54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2024-04-05T12:53:14Z</cp:lastPrinted>
  <dcterms:created xsi:type="dcterms:W3CDTF">2024-04-05T09:12:16Z</dcterms:created>
  <dcterms:modified xsi:type="dcterms:W3CDTF">2024-04-05T12:53:18Z</dcterms:modified>
  <cp:category/>
</cp:coreProperties>
</file>