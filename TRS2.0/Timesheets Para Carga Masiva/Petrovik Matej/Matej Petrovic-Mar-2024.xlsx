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E74807B8-4095-4278-A140-3BAAA2057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U26" i="1"/>
  <c r="AD25" i="1"/>
  <c r="AC25" i="1"/>
  <c r="AB25" i="1"/>
  <c r="AB26" i="1" s="1"/>
  <c r="AB33" i="1" s="1"/>
  <c r="AA25" i="1"/>
  <c r="AA26" i="1" s="1"/>
  <c r="X25" i="1"/>
  <c r="W25" i="1"/>
  <c r="V25" i="1"/>
  <c r="U25" i="1"/>
  <c r="U33" i="1" s="1"/>
  <c r="T25" i="1"/>
  <c r="T26" i="1" s="1"/>
  <c r="Q25" i="1"/>
  <c r="Q26" i="1" s="1"/>
  <c r="P25" i="1"/>
  <c r="P26" i="1" s="1"/>
  <c r="P33" i="1" s="1"/>
  <c r="O25" i="1"/>
  <c r="O26" i="1" s="1"/>
  <c r="N25" i="1"/>
  <c r="M25" i="1"/>
  <c r="J25" i="1"/>
  <c r="J26" i="1" s="1"/>
  <c r="J33" i="1" s="1"/>
  <c r="I25" i="1"/>
  <c r="I26" i="1" s="1"/>
  <c r="H25" i="1"/>
  <c r="H26" i="1" s="1"/>
  <c r="G25" i="1"/>
  <c r="F25" i="1"/>
  <c r="C25" i="1"/>
  <c r="AH24" i="1"/>
  <c r="AH23" i="1"/>
  <c r="C26" i="1" l="1"/>
  <c r="C33" i="1" s="1"/>
  <c r="AA33" i="1"/>
  <c r="X26" i="1"/>
  <c r="X33" i="1" s="1"/>
  <c r="O33" i="1"/>
  <c r="I33" i="1"/>
  <c r="H33" i="1"/>
  <c r="F26" i="1"/>
  <c r="F33" i="1" s="1"/>
  <c r="V26" i="1"/>
  <c r="V33" i="1" s="1"/>
  <c r="Q33" i="1"/>
  <c r="G26" i="1"/>
  <c r="G33" i="1" s="1"/>
  <c r="W26" i="1"/>
  <c r="W33" i="1" s="1"/>
  <c r="T33" i="1"/>
  <c r="M26" i="1"/>
  <c r="M33" i="1" s="1"/>
  <c r="AC26" i="1"/>
  <c r="AC33" i="1" s="1"/>
  <c r="N26" i="1"/>
  <c r="N33" i="1" s="1"/>
  <c r="AD26" i="1"/>
  <c r="AD33" i="1" s="1"/>
  <c r="AH25" i="1"/>
  <c r="AH26" i="1" l="1"/>
  <c r="AH33" i="1" s="1"/>
  <c r="P16" i="1"/>
  <c r="X16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<sst xmlns="http://schemas.openxmlformats.org/spreadsheetml/2006/main" count="81" uniqueCount="55">
  <si>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</si>
  <si>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</si>
  <si>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</si>
  <si>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</si>
  <si>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</si>
  <si>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</si>
  <si>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</si>
  <si>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</si>
  <si>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</si>
  <si>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</si>
  <si>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</si>
  <si>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</si>
  <si>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</si>
  <si>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</si>
  <si>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</si>
  <si>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</si>
  <si>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</si>
  <si>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</si>
  <si>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</si>
  <si>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</si>
  <si>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</si>
  <si>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</si>
  <si>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</si>
  <si>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</si>
  <si>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</si>
  <si>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</si>
  <si>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</si>
  <si>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</si>
  <si>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</si>
  <si>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</si>
  <si>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</si>
  <si>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</si>
  <si>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</si>
  <si>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</si>
  <si>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</si>
  <si>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</si>
  <si>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</si>
  <si>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</si>
  <si>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</si>
  <si>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</si>
  <si>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</si>
  <si>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30% Estimated:45 h</t>
  </si>
  <si>
    <t>PE124600 ISOLDE - WP3 Accelerators and Extensions</t>
  </si>
  <si>
    <t>Dedicacion: 70% Estimated:105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</si>
  <si>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</si>
  <si>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</si>
  <si>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</si>
  <si>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</si>
  <si>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</si>
  <si>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</si>
  <si>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</si>
  <si>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</si>
  <si>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</si>
  <si>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>2024-04-02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</si>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</sst>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topLeftCell="A3" workbookViewId="0">
      <selection activeCell="C24" sqref="C24:AD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150</v>
      </c>
      <c r="I16" s="25"/>
      <c r="K16" s="24" t="s">
        <v>18</v>
      </c>
      <c r="L16" s="16"/>
      <c r="M16" s="16"/>
      <c r="N16" s="16"/>
      <c r="O16" s="16"/>
      <c r="P16" s="26">
        <f>AH25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2</v>
      </c>
      <c r="D23" s="6"/>
      <c r="E23" s="6"/>
      <c r="F23" s="3">
        <v>1.5</v>
      </c>
      <c r="G23" s="3">
        <v>1.5</v>
      </c>
      <c r="H23" s="3">
        <v>1.5</v>
      </c>
      <c r="I23" s="3">
        <v>4.5</v>
      </c>
      <c r="J23" s="3">
        <v>2</v>
      </c>
      <c r="K23" s="6"/>
      <c r="L23" s="6"/>
      <c r="M23" s="3">
        <v>1.5</v>
      </c>
      <c r="N23" s="3">
        <v>1.5</v>
      </c>
      <c r="O23" s="3">
        <v>1.5</v>
      </c>
      <c r="P23" s="3">
        <v>4.5</v>
      </c>
      <c r="Q23" s="3">
        <v>2</v>
      </c>
      <c r="R23" s="6"/>
      <c r="S23" s="6"/>
      <c r="T23" s="3">
        <v>1.5</v>
      </c>
      <c r="U23" s="3">
        <v>1.5</v>
      </c>
      <c r="V23" s="3">
        <v>1.5</v>
      </c>
      <c r="W23" s="3">
        <v>4.5</v>
      </c>
      <c r="X23" s="3">
        <v>2</v>
      </c>
      <c r="Y23" s="6"/>
      <c r="Z23" s="6"/>
      <c r="AA23" s="3">
        <v>1.5</v>
      </c>
      <c r="AB23" s="3">
        <v>1.5</v>
      </c>
      <c r="AC23" s="3">
        <v>2.5</v>
      </c>
      <c r="AD23" s="3">
        <v>4.5</v>
      </c>
      <c r="AE23" s="9"/>
      <c r="AF23" s="6"/>
      <c r="AG23" s="6"/>
      <c r="AH23" s="3">
        <f>SUM(C23:AG23)</f>
        <v>45</v>
      </c>
      <c r="AI23" s="13">
        <f>AH23/$AH$34</f>
        <v>0.3</v>
      </c>
    </row>
    <row r="24" spans="1:35" ht="19.5" x14ac:dyDescent="0.3">
      <c r="A24" s="12" t="s">
        <v>42</v>
      </c>
      <c r="B24" s="12" t="s">
        <v>43</v>
      </c>
      <c r="C24" s="3">
        <v>5.5</v>
      </c>
      <c r="D24" s="6"/>
      <c r="E24" s="6"/>
      <c r="F24" s="3">
        <v>6</v>
      </c>
      <c r="G24" s="3">
        <v>6</v>
      </c>
      <c r="H24" s="3">
        <v>6</v>
      </c>
      <c r="I24" s="3">
        <v>3</v>
      </c>
      <c r="J24" s="3">
        <v>5.5</v>
      </c>
      <c r="K24" s="6"/>
      <c r="L24" s="6"/>
      <c r="M24" s="3">
        <v>6</v>
      </c>
      <c r="N24" s="3">
        <v>6</v>
      </c>
      <c r="O24" s="3">
        <v>6</v>
      </c>
      <c r="P24" s="3">
        <v>3</v>
      </c>
      <c r="Q24" s="3">
        <v>5.5</v>
      </c>
      <c r="R24" s="6"/>
      <c r="S24" s="6"/>
      <c r="T24" s="3">
        <v>6</v>
      </c>
      <c r="U24" s="3">
        <v>6</v>
      </c>
      <c r="V24" s="3">
        <v>6</v>
      </c>
      <c r="W24" s="3">
        <v>3</v>
      </c>
      <c r="X24" s="3">
        <v>5.5</v>
      </c>
      <c r="Y24" s="6"/>
      <c r="Z24" s="6"/>
      <c r="AA24" s="3">
        <v>6</v>
      </c>
      <c r="AB24" s="3">
        <v>6</v>
      </c>
      <c r="AC24" s="3">
        <v>5</v>
      </c>
      <c r="AD24" s="3">
        <v>3</v>
      </c>
      <c r="AE24" s="9"/>
      <c r="AF24" s="6"/>
      <c r="AG24" s="6"/>
      <c r="AH24" s="3">
        <f>SUM(C24:AG24)</f>
        <v>105</v>
      </c>
      <c r="AI24" s="13">
        <f>AH24/$AH$34</f>
        <v>0.7</v>
      </c>
    </row>
    <row r="25" spans="1:35" ht="19.5" x14ac:dyDescent="0.3">
      <c r="A25" s="35" t="s">
        <v>44</v>
      </c>
      <c r="B25" s="36"/>
      <c r="C25" s="4">
        <f>SUM(C23:C24)</f>
        <v>7.5</v>
      </c>
      <c r="D25" s="7"/>
      <c r="E25" s="7"/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7"/>
      <c r="L25" s="7"/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7"/>
      <c r="S25" s="7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7"/>
      <c r="Z25" s="7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10"/>
      <c r="AF25" s="7"/>
      <c r="AG25" s="7"/>
      <c r="AH25" s="4">
        <f>SUM(AH23:AH24)</f>
        <v>150</v>
      </c>
      <c r="AI25" s="11">
        <f>AH25/$AH$34</f>
        <v>1</v>
      </c>
    </row>
    <row r="26" spans="1:35" ht="19.5" x14ac:dyDescent="0.3">
      <c r="A26" s="37" t="s">
        <v>45</v>
      </c>
      <c r="B26" s="37"/>
      <c r="C26" s="3">
        <f>7.5-C25</f>
        <v>0</v>
      </c>
      <c r="D26" s="6"/>
      <c r="E26" s="6"/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6"/>
      <c r="L26" s="6"/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6"/>
      <c r="S26" s="6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6"/>
      <c r="Z26" s="6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9"/>
      <c r="AF26" s="6"/>
      <c r="AG26" s="6"/>
      <c r="AH26" s="3">
        <f t="shared" ref="AH26:AH32" si="0">SUM(C26:AG26)</f>
        <v>0</v>
      </c>
    </row>
    <row r="27" spans="1:35" ht="19.5" x14ac:dyDescent="0.3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3"/>
      <c r="AB27" s="3"/>
      <c r="AC27" s="3"/>
      <c r="AD27" s="3"/>
      <c r="AE27" s="9"/>
      <c r="AF27" s="6"/>
      <c r="AG27" s="6"/>
      <c r="AH27" s="3">
        <f t="shared" si="0"/>
        <v>0</v>
      </c>
    </row>
    <row r="28" spans="1:35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37"/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37" t="s">
        <v>46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37" t="s">
        <v>47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37" t="s">
        <v>48</v>
      </c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0"/>
        <v>0</v>
      </c>
    </row>
    <row r="33" spans="1:34" ht="19.5" x14ac:dyDescent="0.3">
      <c r="A33" s="12" t="s">
        <v>49</v>
      </c>
      <c r="B33" s="12"/>
      <c r="C33" s="4">
        <f>SUM(C25:C29)</f>
        <v>7.5</v>
      </c>
      <c r="D33" s="7"/>
      <c r="E33" s="7"/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7"/>
      <c r="L33" s="7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7"/>
      <c r="S33" s="7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7"/>
      <c r="Z33" s="7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10"/>
      <c r="AF33" s="7"/>
      <c r="AG33" s="7"/>
      <c r="AH33" s="4">
        <f>SUM(AH25:AH29)</f>
        <v>150</v>
      </c>
    </row>
    <row r="34" spans="1:34" ht="19.5" x14ac:dyDescent="0.3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150</v>
      </c>
    </row>
    <row r="37" spans="1:34" x14ac:dyDescent="0.25">
      <c r="A37" s="31" t="s">
        <v>51</v>
      </c>
      <c r="B37" s="31" t="s">
        <v>52</v>
      </c>
      <c r="W37" s="39" t="s">
        <v>54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53</v>
      </c>
      <c r="W39" s="45"/>
      <c r="X39" s="46"/>
      <c r="Y39" s="46"/>
      <c r="Z39" s="46"/>
      <c r="AA39" s="47"/>
      <c r="AB39" s="48" t="s">
        <v>53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2024-06-12T10:16:35Z</dcterms:created>
  <dcterms:modified xsi:type="dcterms:W3CDTF">2024-06-12T10:37:45Z</dcterms:modified>
  <cp:category/>
</cp:coreProperties>
</file>