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45881F4A-4E65-4317-9985-552937B9E33C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" i="1" l="1"/>
  <c r="AH24" i="1"/>
  <c r="AH32" i="1"/>
  <c r="AH31" i="1"/>
  <c r="AH30" i="1"/>
  <c r="AH29" i="1"/>
  <c r="AH28" i="1"/>
  <c r="AH27" i="1"/>
  <c r="AF25" i="1"/>
  <c r="AF26" i="1" s="1"/>
  <c r="AF33" i="1" s="1"/>
  <c r="Z25" i="1"/>
  <c r="Y25" i="1"/>
  <c r="X25" i="1"/>
  <c r="W25" i="1"/>
  <c r="W26" i="1" s="1"/>
  <c r="W33" i="1" s="1"/>
  <c r="S25" i="1"/>
  <c r="R25" i="1"/>
  <c r="Q25" i="1"/>
  <c r="P25" i="1"/>
  <c r="P26" i="1" s="1"/>
  <c r="P33" i="1" s="1"/>
  <c r="O25" i="1"/>
  <c r="L25" i="1"/>
  <c r="K25" i="1"/>
  <c r="J25" i="1"/>
  <c r="J26" i="1" s="1"/>
  <c r="J33" i="1" s="1"/>
  <c r="I25" i="1"/>
  <c r="H25" i="1"/>
  <c r="H26" i="1" s="1"/>
  <c r="E25" i="1"/>
  <c r="D25" i="1"/>
  <c r="D26" i="1" s="1"/>
  <c r="AH23" i="1"/>
  <c r="D33" i="1" l="1"/>
  <c r="K26" i="1"/>
  <c r="K33" i="1" s="1"/>
  <c r="X26" i="1"/>
  <c r="X33" i="1" s="1"/>
  <c r="AH25" i="1"/>
  <c r="L26" i="1"/>
  <c r="L33" i="1" s="1"/>
  <c r="R26" i="1"/>
  <c r="R33" i="1" s="1"/>
  <c r="Y26" i="1"/>
  <c r="Y33" i="1" s="1"/>
  <c r="I26" i="1"/>
  <c r="I33" i="1" s="1"/>
  <c r="O26" i="1"/>
  <c r="O33" i="1" s="1"/>
  <c r="S26" i="1"/>
  <c r="S33" i="1" s="1"/>
  <c r="Z26" i="1"/>
  <c r="Z33" i="1" s="1"/>
  <c r="H33" i="1"/>
  <c r="E26" i="1"/>
  <c r="Q26" i="1"/>
  <c r="Q33" i="1" s="1"/>
  <c r="AG26" i="1"/>
  <c r="AG33" i="1" s="1"/>
  <c r="AH26" i="1" l="1"/>
  <c r="AH33" i="1" s="1"/>
  <c r="P16" i="1"/>
  <c r="X16" i="1" s="1"/>
  <c r="E33" i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<sst xmlns="http://schemas.openxmlformats.org/spreadsheetml/2006/main" count="81" uniqueCount="55">
  <si>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</si>
  <si>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</si>
  <si>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</si>
  <si>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</si>
  <si>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</si>
  <si>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</si>
  <si>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</si>
  <si>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</si>
  <si>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</si>
  <si>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</si>
  <si>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</si>
  <si>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</si>
  <si>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</si>
  <si>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</si>
  <si>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</si>
  <si>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</si>
  <si>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</si>
  <si>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</si>
  <si>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</si>
  <si>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</si>
  <si>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</si>
  <si>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</si>
  <si>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</si>
  <si>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</si>
  <si>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</si>
  <si>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</si>
  <si>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</si>
  <si>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</si>
  <si>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</si>
  <si>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</si>
  <si>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</si>
  <si>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</si>
  <si>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</si>
  <si>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</si>
  <si>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</si>
  <si>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</si>
  <si>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</si>
  <si>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</si>
  <si>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</si>
  <si>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</si>
  <si>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</si>
  <si>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Estimated:40.5 h</t>
  </si>
  <si>
    <t>PE124600 ISOLDE - WP3 Accelerators and Extensions</t>
  </si>
  <si>
    <t>Dedicacion: 70% Estimated:94.5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</si>
  <si>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</si>
  <si>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</si>
  <si>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</si>
  <si>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</si>
  <si>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</si>
  <si>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</si>
  <si>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</si>
  <si>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</si>
  <si>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</si>
  <si>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2024-06-03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</si>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</sst>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D24" sqref="D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AH33</f>
        <v>135</v>
      </c>
      <c r="I16" s="28"/>
      <c r="K16" s="27" t="s">
        <v>18</v>
      </c>
      <c r="L16" s="19"/>
      <c r="M16" s="19"/>
      <c r="N16" s="19"/>
      <c r="O16" s="19"/>
      <c r="P16" s="29">
        <f>AH25</f>
        <v>135</v>
      </c>
      <c r="Q16" s="29"/>
      <c r="S16" s="27" t="s">
        <v>19</v>
      </c>
      <c r="T16" s="19"/>
      <c r="U16" s="19"/>
      <c r="V16" s="19"/>
      <c r="W16" s="19"/>
      <c r="X16" s="28">
        <f>(P16/7.5) *1</f>
        <v>18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2"/>
      <c r="G21" s="32"/>
      <c r="H21" s="31"/>
      <c r="I21" s="31"/>
      <c r="J21" s="31"/>
      <c r="K21" s="31"/>
      <c r="L21" s="31"/>
      <c r="M21" s="32"/>
      <c r="N21" s="32"/>
      <c r="O21" s="31"/>
      <c r="P21" s="31"/>
      <c r="Q21" s="31"/>
      <c r="R21" s="31"/>
      <c r="S21" s="31"/>
      <c r="T21" s="32"/>
      <c r="U21" s="32"/>
      <c r="V21" s="30"/>
      <c r="W21" s="31"/>
      <c r="X21" s="31"/>
      <c r="Y21" s="31"/>
      <c r="Z21" s="31"/>
      <c r="AA21" s="32"/>
      <c r="AB21" s="32"/>
      <c r="AC21" s="33"/>
      <c r="AD21" s="33"/>
      <c r="AE21" s="33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2"/>
      <c r="G22" s="32"/>
      <c r="H22" s="31"/>
      <c r="I22" s="31"/>
      <c r="J22" s="31"/>
      <c r="K22" s="31"/>
      <c r="L22" s="31"/>
      <c r="M22" s="32"/>
      <c r="N22" s="32"/>
      <c r="O22" s="31"/>
      <c r="P22" s="31"/>
      <c r="Q22" s="31"/>
      <c r="R22" s="31"/>
      <c r="S22" s="31"/>
      <c r="T22" s="32"/>
      <c r="U22" s="32"/>
      <c r="V22" s="30"/>
      <c r="W22" s="31"/>
      <c r="X22" s="31"/>
      <c r="Y22" s="31"/>
      <c r="Z22" s="31"/>
      <c r="AA22" s="32"/>
      <c r="AB22" s="32"/>
      <c r="AC22" s="33"/>
      <c r="AD22" s="33"/>
      <c r="AE22" s="33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4</v>
      </c>
      <c r="E23" s="3">
        <v>2</v>
      </c>
      <c r="F23" s="9"/>
      <c r="G23" s="9"/>
      <c r="H23" s="3"/>
      <c r="I23" s="3">
        <v>2</v>
      </c>
      <c r="J23" s="3">
        <v>3</v>
      </c>
      <c r="K23" s="3">
        <v>1.5</v>
      </c>
      <c r="L23" s="3">
        <v>3</v>
      </c>
      <c r="M23" s="9"/>
      <c r="N23" s="9"/>
      <c r="O23" s="3"/>
      <c r="P23" s="3">
        <v>4</v>
      </c>
      <c r="Q23" s="3">
        <v>3.5</v>
      </c>
      <c r="R23" s="3">
        <v>2</v>
      </c>
      <c r="S23" s="3">
        <v>3</v>
      </c>
      <c r="T23" s="9"/>
      <c r="U23" s="9"/>
      <c r="V23" s="6"/>
      <c r="W23" s="3">
        <v>4</v>
      </c>
      <c r="X23" s="3">
        <v>4</v>
      </c>
      <c r="Y23" s="3">
        <v>2.5</v>
      </c>
      <c r="Z23" s="3">
        <v>1.5</v>
      </c>
      <c r="AA23" s="9"/>
      <c r="AB23" s="9"/>
      <c r="AC23" s="12"/>
      <c r="AD23" s="12"/>
      <c r="AE23" s="12"/>
      <c r="AF23" s="3"/>
      <c r="AG23" s="3"/>
      <c r="AH23" s="3">
        <f>SUM(C23:AG23)</f>
        <v>40</v>
      </c>
      <c r="AI23" s="16">
        <f>AH23/$AH$34</f>
        <v>0.29629629629629628</v>
      </c>
    </row>
    <row r="24" spans="1:35" ht="19.5" x14ac:dyDescent="0.3">
      <c r="A24" s="15" t="s">
        <v>42</v>
      </c>
      <c r="B24" s="15" t="s">
        <v>43</v>
      </c>
      <c r="C24" s="6"/>
      <c r="D24" s="3">
        <v>3.5</v>
      </c>
      <c r="E24" s="3">
        <v>5.5</v>
      </c>
      <c r="F24" s="9"/>
      <c r="G24" s="9"/>
      <c r="H24" s="3">
        <v>7.5</v>
      </c>
      <c r="I24" s="3">
        <v>5.5</v>
      </c>
      <c r="J24" s="3">
        <v>4.5</v>
      </c>
      <c r="K24" s="3">
        <v>6</v>
      </c>
      <c r="L24" s="3">
        <v>4.5</v>
      </c>
      <c r="M24" s="9"/>
      <c r="N24" s="9"/>
      <c r="O24" s="3">
        <v>7.5</v>
      </c>
      <c r="P24" s="3">
        <v>3.5</v>
      </c>
      <c r="Q24" s="3">
        <v>4</v>
      </c>
      <c r="R24" s="3">
        <v>5.5</v>
      </c>
      <c r="S24" s="3">
        <v>4.5</v>
      </c>
      <c r="T24" s="9"/>
      <c r="U24" s="9"/>
      <c r="V24" s="6"/>
      <c r="W24" s="3">
        <v>3.5</v>
      </c>
      <c r="X24" s="3">
        <v>3.5</v>
      </c>
      <c r="Y24" s="3">
        <v>5</v>
      </c>
      <c r="Z24" s="3">
        <v>6</v>
      </c>
      <c r="AA24" s="9"/>
      <c r="AB24" s="9"/>
      <c r="AC24" s="12"/>
      <c r="AD24" s="12"/>
      <c r="AE24" s="12"/>
      <c r="AF24" s="3">
        <v>7.5</v>
      </c>
      <c r="AG24" s="3">
        <v>7.5</v>
      </c>
      <c r="AH24" s="3">
        <f>SUM(C24:AG24)</f>
        <v>95</v>
      </c>
      <c r="AI24" s="16">
        <f>AH24/$AH$34</f>
        <v>0.70370370370370372</v>
      </c>
    </row>
    <row r="25" spans="1:35" ht="19.5" x14ac:dyDescent="0.3">
      <c r="A25" s="39" t="s">
        <v>44</v>
      </c>
      <c r="B25" s="40"/>
      <c r="C25" s="7"/>
      <c r="D25" s="4">
        <f>SUM(D23:D24)</f>
        <v>7.5</v>
      </c>
      <c r="E25" s="4">
        <f>SUM(E23:E24)</f>
        <v>7.5</v>
      </c>
      <c r="F25" s="10"/>
      <c r="G25" s="10"/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0"/>
      <c r="N25" s="10"/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4">
        <f>SUM(S23:S24)</f>
        <v>7.5</v>
      </c>
      <c r="T25" s="10"/>
      <c r="U25" s="10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0"/>
      <c r="AB25" s="10"/>
      <c r="AC25" s="13"/>
      <c r="AD25" s="13"/>
      <c r="AE25" s="13"/>
      <c r="AF25" s="4">
        <f>SUM(AF23:AF24)</f>
        <v>7.5</v>
      </c>
      <c r="AG25" s="4">
        <f>SUM(AG23:AG24)</f>
        <v>7.5</v>
      </c>
      <c r="AH25" s="4">
        <f>SUM(AH23:AH24)</f>
        <v>135</v>
      </c>
      <c r="AI25" s="14">
        <f>AH25/$AH$34</f>
        <v>1</v>
      </c>
    </row>
    <row r="26" spans="1:35" ht="19.5" x14ac:dyDescent="0.3">
      <c r="A26" s="41" t="s">
        <v>45</v>
      </c>
      <c r="B26" s="41"/>
      <c r="C26" s="6"/>
      <c r="D26" s="3">
        <f>7.5-D25</f>
        <v>0</v>
      </c>
      <c r="E26" s="3">
        <f>7.5-E25</f>
        <v>0</v>
      </c>
      <c r="F26" s="9"/>
      <c r="G26" s="9"/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9"/>
      <c r="N26" s="9"/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3">
        <f>7.5-S25</f>
        <v>0</v>
      </c>
      <c r="T26" s="9"/>
      <c r="U26" s="9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9"/>
      <c r="AB26" s="9"/>
      <c r="AC26" s="12"/>
      <c r="AD26" s="12"/>
      <c r="AE26" s="12"/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41"/>
      <c r="B27" s="41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6"/>
      <c r="W27" s="3"/>
      <c r="X27" s="3"/>
      <c r="Y27" s="3"/>
      <c r="Z27" s="3"/>
      <c r="AA27" s="9"/>
      <c r="AB27" s="9"/>
      <c r="AC27" s="12"/>
      <c r="AD27" s="12"/>
      <c r="AE27" s="12"/>
      <c r="AF27" s="3"/>
      <c r="AG27" s="3"/>
      <c r="AH27" s="3">
        <f t="shared" si="0"/>
        <v>0</v>
      </c>
    </row>
    <row r="28" spans="1:35" ht="19.5" x14ac:dyDescent="0.3">
      <c r="A28" s="41"/>
      <c r="B28" s="41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6"/>
      <c r="W28" s="3"/>
      <c r="X28" s="3"/>
      <c r="Y28" s="3"/>
      <c r="Z28" s="3"/>
      <c r="AA28" s="9"/>
      <c r="AB28" s="9"/>
      <c r="AC28" s="12"/>
      <c r="AD28" s="12"/>
      <c r="AE28" s="12"/>
      <c r="AF28" s="3"/>
      <c r="AG28" s="3"/>
      <c r="AH28" s="3">
        <f t="shared" si="0"/>
        <v>0</v>
      </c>
    </row>
    <row r="29" spans="1:35" ht="19.5" x14ac:dyDescent="0.3">
      <c r="A29" s="41"/>
      <c r="B29" s="41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6"/>
      <c r="W29" s="3"/>
      <c r="X29" s="3"/>
      <c r="Y29" s="3"/>
      <c r="Z29" s="3"/>
      <c r="AA29" s="9"/>
      <c r="AB29" s="9"/>
      <c r="AC29" s="12"/>
      <c r="AD29" s="12"/>
      <c r="AE29" s="12"/>
      <c r="AF29" s="3"/>
      <c r="AG29" s="3"/>
      <c r="AH29" s="3">
        <f t="shared" si="0"/>
        <v>0</v>
      </c>
    </row>
    <row r="30" spans="1:35" ht="19.5" x14ac:dyDescent="0.3">
      <c r="A30" s="41" t="s">
        <v>46</v>
      </c>
      <c r="B30" s="41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6"/>
      <c r="W30" s="3"/>
      <c r="X30" s="3"/>
      <c r="Y30" s="3"/>
      <c r="Z30" s="3"/>
      <c r="AA30" s="9"/>
      <c r="AB30" s="9"/>
      <c r="AC30" s="12"/>
      <c r="AD30" s="12"/>
      <c r="AE30" s="12"/>
      <c r="AF30" s="3"/>
      <c r="AG30" s="3"/>
      <c r="AH30" s="3">
        <f t="shared" si="0"/>
        <v>0</v>
      </c>
    </row>
    <row r="31" spans="1:35" ht="19.5" x14ac:dyDescent="0.3">
      <c r="A31" s="41" t="s">
        <v>47</v>
      </c>
      <c r="B31" s="41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6"/>
      <c r="W31" s="3"/>
      <c r="X31" s="3"/>
      <c r="Y31" s="3"/>
      <c r="Z31" s="3"/>
      <c r="AA31" s="9"/>
      <c r="AB31" s="9"/>
      <c r="AC31" s="12"/>
      <c r="AD31" s="12"/>
      <c r="AE31" s="12"/>
      <c r="AF31" s="3"/>
      <c r="AG31" s="3"/>
      <c r="AH31" s="3">
        <f t="shared" si="0"/>
        <v>0</v>
      </c>
    </row>
    <row r="32" spans="1:35" ht="19.5" x14ac:dyDescent="0.3">
      <c r="A32" s="41" t="s">
        <v>48</v>
      </c>
      <c r="B32" s="41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6"/>
      <c r="W32" s="3"/>
      <c r="X32" s="3"/>
      <c r="Y32" s="3"/>
      <c r="Z32" s="3"/>
      <c r="AA32" s="9"/>
      <c r="AB32" s="9"/>
      <c r="AC32" s="12"/>
      <c r="AD32" s="12"/>
      <c r="AE32" s="12"/>
      <c r="AF32" s="3"/>
      <c r="AG32" s="3"/>
      <c r="AH32" s="3">
        <f t="shared" si="0"/>
        <v>0</v>
      </c>
    </row>
    <row r="33" spans="1:34" ht="19.5" x14ac:dyDescent="0.3">
      <c r="A33" s="15" t="s">
        <v>49</v>
      </c>
      <c r="B33" s="15"/>
      <c r="C33" s="7"/>
      <c r="D33" s="4">
        <f>SUM(D25:D29)</f>
        <v>7.5</v>
      </c>
      <c r="E33" s="4">
        <f>SUM(E25:E29)</f>
        <v>7.5</v>
      </c>
      <c r="F33" s="10"/>
      <c r="G33" s="10"/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0"/>
      <c r="N33" s="10"/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4">
        <f>SUM(S25:S29)</f>
        <v>7.5</v>
      </c>
      <c r="T33" s="10"/>
      <c r="U33" s="10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0"/>
      <c r="AB33" s="10"/>
      <c r="AC33" s="13"/>
      <c r="AD33" s="13"/>
      <c r="AE33" s="13"/>
      <c r="AF33" s="4">
        <f>SUM(AF25:AF29)</f>
        <v>7.5</v>
      </c>
      <c r="AG33" s="4">
        <f>SUM(AG25:AG29)</f>
        <v>7.5</v>
      </c>
      <c r="AH33" s="4">
        <f>SUM(AH25:AH29)</f>
        <v>135</v>
      </c>
    </row>
    <row r="34" spans="1:34" ht="19.5" x14ac:dyDescent="0.3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2">
        <f>SUM(AH30:AH33)</f>
        <v>135</v>
      </c>
    </row>
    <row r="37" spans="1:34" x14ac:dyDescent="0.25">
      <c r="A37" s="35" t="s">
        <v>51</v>
      </c>
      <c r="B37" s="35" t="s">
        <v>52</v>
      </c>
      <c r="W37" s="43" t="s">
        <v>54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4" x14ac:dyDescent="0.25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4" ht="19.5" x14ac:dyDescent="0.25">
      <c r="A39" s="36"/>
      <c r="B39" s="17" t="s">
        <v>53</v>
      </c>
      <c r="W39" s="49"/>
      <c r="X39" s="50"/>
      <c r="Y39" s="50"/>
      <c r="Z39" s="50"/>
      <c r="AA39" s="51"/>
      <c r="AB39" s="52" t="s">
        <v>53</v>
      </c>
      <c r="AC39" s="50"/>
      <c r="AD39" s="50"/>
      <c r="AE39" s="51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2024-07-15T19:16:17Z</dcterms:created>
  <dcterms:modified xsi:type="dcterms:W3CDTF">2024-07-15T19:17:28Z</dcterms:modified>
  <cp:category/>
</cp:coreProperties>
</file>