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429572FB-2911-4334-B72E-FFFE84F81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F25" i="1"/>
  <c r="AF26" i="1" s="1"/>
  <c r="AF33" i="1" s="1"/>
  <c r="AE25" i="1"/>
  <c r="AB25" i="1"/>
  <c r="AA25" i="1"/>
  <c r="AA26" i="1" s="1"/>
  <c r="Z25" i="1"/>
  <c r="L25" i="1"/>
  <c r="L26" i="1" s="1"/>
  <c r="K25" i="1"/>
  <c r="K26" i="1" s="1"/>
  <c r="J25" i="1"/>
  <c r="J26" i="1" s="1"/>
  <c r="J33" i="1" s="1"/>
  <c r="G25" i="1"/>
  <c r="G26" i="1" s="1"/>
  <c r="F25" i="1"/>
  <c r="F26" i="1" s="1"/>
  <c r="F33" i="1" s="1"/>
  <c r="E25" i="1"/>
  <c r="D25" i="1"/>
  <c r="D26" i="1" s="1"/>
  <c r="AG24" i="1"/>
  <c r="AG23" i="1"/>
  <c r="Z26" i="1" l="1"/>
  <c r="Z33" i="1" s="1"/>
  <c r="L33" i="1"/>
  <c r="D33" i="1"/>
  <c r="AG25" i="1"/>
  <c r="AE26" i="1"/>
  <c r="AE33" i="1" s="1"/>
  <c r="G33" i="1"/>
  <c r="K33" i="1"/>
  <c r="E26" i="1"/>
  <c r="AA33" i="1"/>
  <c r="AB26" i="1"/>
  <c r="AB33" i="1" s="1"/>
  <c r="AG26" i="1" l="1"/>
  <c r="AG33" i="1" s="1"/>
  <c r="P16" i="1"/>
  <c r="X16" i="1" s="1"/>
  <c r="E33" i="1"/>
  <c r="H16" i="1" l="1"/>
  <c r="AG34" i="1"/>
  <c r="AH24" i="1" l="1"/>
  <c r="AH23" i="1"/>
  <c r="AH25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<sst xmlns="http://schemas.openxmlformats.org/spreadsheetml/2006/main" count="80" uniqueCount="55">
  <si>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</si>
  <si>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</si>
  <si>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</si>
  <si>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</si>
  <si>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</si>
  <si>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</si>
  <si>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</si>
  <si>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</si>
  <si>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</si>
  <si>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</si>
  <si>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</si>
  <si>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</si>
  <si>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</si>
  <si>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</si>
  <si>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</si>
  <si>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</si>
  <si>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</si>
  <si>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</si>
  <si>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</si>
  <si>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</si>
  <si>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</si>
  <si>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</si>
  <si>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</si>
  <si>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</si>
  <si>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</si>
  <si>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</si>
  <si>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</si>
  <si>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</si>
  <si>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</si>
  <si>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</si>
  <si>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</si>
  <si>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</si>
  <si>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</si>
  <si>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</si>
  <si>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</si>
  <si>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</si>
  <si>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</si>
  <si>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</si>
  <si>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</si>
  <si>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</si>
  <si>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</si>
  <si>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Estimated:27 h</t>
  </si>
  <si>
    <t>PE124600 ISOLDE - WP3 Accelerators and Extensions</t>
  </si>
  <si>
    <t>Dedicacion: 70% Estimated:63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</si>
  <si>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</si>
  <si>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</si>
  <si>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</si>
  <si>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</si>
  <si>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</si>
  <si>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</si>
  <si>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</si>
  <si>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</si>
  <si>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</si>
  <si>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2024-05-10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</si>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</sst>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AG33</f>
        <v>90</v>
      </c>
      <c r="I16" s="28"/>
      <c r="K16" s="27" t="s">
        <v>18</v>
      </c>
      <c r="L16" s="19"/>
      <c r="M16" s="19"/>
      <c r="N16" s="19"/>
      <c r="O16" s="19"/>
      <c r="P16" s="29">
        <f>AG25</f>
        <v>90</v>
      </c>
      <c r="Q16" s="29"/>
      <c r="S16" s="27" t="s">
        <v>19</v>
      </c>
      <c r="T16" s="19"/>
      <c r="U16" s="19"/>
      <c r="V16" s="19"/>
      <c r="W16" s="19"/>
      <c r="X16" s="28">
        <f>(P16/7.5) *1</f>
        <v>12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8" t="s">
        <v>30</v>
      </c>
      <c r="P19" s="8" t="s">
        <v>32</v>
      </c>
      <c r="Q19" s="11" t="s">
        <v>20</v>
      </c>
      <c r="R19" s="11" t="s">
        <v>22</v>
      </c>
      <c r="S19" s="11" t="s">
        <v>24</v>
      </c>
      <c r="T19" s="11" t="s">
        <v>26</v>
      </c>
      <c r="U19" s="11" t="s">
        <v>28</v>
      </c>
      <c r="V19" s="8" t="s">
        <v>30</v>
      </c>
      <c r="W19" s="8" t="s">
        <v>32</v>
      </c>
      <c r="X19" s="11" t="s">
        <v>20</v>
      </c>
      <c r="Y19" s="11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8">
        <v>13</v>
      </c>
      <c r="P20" s="8">
        <v>14</v>
      </c>
      <c r="Q20" s="11">
        <v>15</v>
      </c>
      <c r="R20" s="11">
        <v>16</v>
      </c>
      <c r="S20" s="11">
        <v>17</v>
      </c>
      <c r="T20" s="11">
        <v>18</v>
      </c>
      <c r="U20" s="11">
        <v>19</v>
      </c>
      <c r="V20" s="8">
        <v>20</v>
      </c>
      <c r="W20" s="8">
        <v>21</v>
      </c>
      <c r="X20" s="11">
        <v>22</v>
      </c>
      <c r="Y20" s="11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3"/>
      <c r="N21" s="33"/>
      <c r="O21" s="32"/>
      <c r="P21" s="32"/>
      <c r="Q21" s="33"/>
      <c r="R21" s="33"/>
      <c r="S21" s="33"/>
      <c r="T21" s="33"/>
      <c r="U21" s="33"/>
      <c r="V21" s="32"/>
      <c r="W21" s="32"/>
      <c r="X21" s="33"/>
      <c r="Y21" s="33"/>
      <c r="Z21" s="31"/>
      <c r="AA21" s="31"/>
      <c r="AB21" s="31"/>
      <c r="AC21" s="32"/>
      <c r="AD21" s="32"/>
      <c r="AE21" s="31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3"/>
      <c r="N22" s="33"/>
      <c r="O22" s="32"/>
      <c r="P22" s="32"/>
      <c r="Q22" s="33"/>
      <c r="R22" s="33"/>
      <c r="S22" s="33"/>
      <c r="T22" s="33"/>
      <c r="U22" s="33"/>
      <c r="V22" s="32"/>
      <c r="W22" s="32"/>
      <c r="X22" s="33"/>
      <c r="Y22" s="33"/>
      <c r="Z22" s="31"/>
      <c r="AA22" s="31"/>
      <c r="AB22" s="31"/>
      <c r="AC22" s="32"/>
      <c r="AD22" s="32"/>
      <c r="AE22" s="31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1.5</v>
      </c>
      <c r="E23" s="3">
        <v>1.5</v>
      </c>
      <c r="F23" s="3">
        <v>4.5</v>
      </c>
      <c r="G23" s="3">
        <v>2</v>
      </c>
      <c r="H23" s="9"/>
      <c r="I23" s="9"/>
      <c r="J23" s="3">
        <v>1.5</v>
      </c>
      <c r="K23" s="3">
        <v>1.5</v>
      </c>
      <c r="L23" s="3">
        <v>1.5</v>
      </c>
      <c r="M23" s="12"/>
      <c r="N23" s="12"/>
      <c r="O23" s="9"/>
      <c r="P23" s="9"/>
      <c r="Q23" s="12"/>
      <c r="R23" s="12"/>
      <c r="S23" s="12"/>
      <c r="T23" s="12"/>
      <c r="U23" s="12"/>
      <c r="V23" s="9"/>
      <c r="W23" s="9"/>
      <c r="X23" s="12"/>
      <c r="Y23" s="12"/>
      <c r="Z23" s="3">
        <v>1.5</v>
      </c>
      <c r="AA23" s="3">
        <v>4.5</v>
      </c>
      <c r="AB23" s="3">
        <v>4</v>
      </c>
      <c r="AC23" s="9"/>
      <c r="AD23" s="9"/>
      <c r="AE23" s="3">
        <v>1.5</v>
      </c>
      <c r="AF23" s="3">
        <v>1.5</v>
      </c>
      <c r="AG23" s="3">
        <f>SUM(C23:AF23)</f>
        <v>27</v>
      </c>
      <c r="AH23" s="16">
        <f>AG23/$AG$34</f>
        <v>0.3</v>
      </c>
    </row>
    <row r="24" spans="1:34" ht="19.5" x14ac:dyDescent="0.3">
      <c r="A24" s="15" t="s">
        <v>42</v>
      </c>
      <c r="B24" s="15" t="s">
        <v>43</v>
      </c>
      <c r="C24" s="6"/>
      <c r="D24" s="3">
        <v>6</v>
      </c>
      <c r="E24" s="3">
        <v>6</v>
      </c>
      <c r="F24" s="3">
        <v>3</v>
      </c>
      <c r="G24" s="3">
        <v>5.5</v>
      </c>
      <c r="H24" s="9"/>
      <c r="I24" s="9"/>
      <c r="J24" s="3">
        <v>6</v>
      </c>
      <c r="K24" s="3">
        <v>6</v>
      </c>
      <c r="L24" s="3">
        <v>6</v>
      </c>
      <c r="M24" s="12"/>
      <c r="N24" s="12"/>
      <c r="O24" s="9"/>
      <c r="P24" s="9"/>
      <c r="Q24" s="12"/>
      <c r="R24" s="12"/>
      <c r="S24" s="12"/>
      <c r="T24" s="12"/>
      <c r="U24" s="12"/>
      <c r="V24" s="9"/>
      <c r="W24" s="9"/>
      <c r="X24" s="12"/>
      <c r="Y24" s="12"/>
      <c r="Z24" s="3">
        <v>6</v>
      </c>
      <c r="AA24" s="3">
        <v>3</v>
      </c>
      <c r="AB24" s="3">
        <v>3.5</v>
      </c>
      <c r="AC24" s="9"/>
      <c r="AD24" s="9"/>
      <c r="AE24" s="3">
        <v>6</v>
      </c>
      <c r="AF24" s="3">
        <v>6</v>
      </c>
      <c r="AG24" s="3">
        <f>SUM(C24:AF24)</f>
        <v>63</v>
      </c>
      <c r="AH24" s="16">
        <f>AG24/$AG$34</f>
        <v>0.7</v>
      </c>
    </row>
    <row r="25" spans="1:34" ht="19.5" x14ac:dyDescent="0.3">
      <c r="A25" s="39" t="s">
        <v>44</v>
      </c>
      <c r="B25" s="40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13"/>
      <c r="N25" s="13"/>
      <c r="O25" s="10"/>
      <c r="P25" s="10"/>
      <c r="Q25" s="13"/>
      <c r="R25" s="13"/>
      <c r="S25" s="13"/>
      <c r="T25" s="13"/>
      <c r="U25" s="13"/>
      <c r="V25" s="10"/>
      <c r="W25" s="10"/>
      <c r="X25" s="13"/>
      <c r="Y25" s="13"/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90</v>
      </c>
      <c r="AH25" s="14">
        <f>AG25/$AG$34</f>
        <v>1</v>
      </c>
    </row>
    <row r="26" spans="1:34" ht="19.5" x14ac:dyDescent="0.3">
      <c r="A26" s="41" t="s">
        <v>45</v>
      </c>
      <c r="B26" s="41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12"/>
      <c r="N26" s="12"/>
      <c r="O26" s="9"/>
      <c r="P26" s="9"/>
      <c r="Q26" s="12"/>
      <c r="R26" s="12"/>
      <c r="S26" s="12"/>
      <c r="T26" s="12"/>
      <c r="U26" s="12"/>
      <c r="V26" s="9"/>
      <c r="W26" s="9"/>
      <c r="X26" s="12"/>
      <c r="Y26" s="12"/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41"/>
      <c r="B27" s="41"/>
      <c r="C27" s="6"/>
      <c r="D27" s="3"/>
      <c r="E27" s="3"/>
      <c r="F27" s="3"/>
      <c r="G27" s="3"/>
      <c r="H27" s="9"/>
      <c r="I27" s="9"/>
      <c r="J27" s="3"/>
      <c r="K27" s="3"/>
      <c r="L27" s="3"/>
      <c r="M27" s="12"/>
      <c r="N27" s="12"/>
      <c r="O27" s="9"/>
      <c r="P27" s="9"/>
      <c r="Q27" s="12"/>
      <c r="R27" s="12"/>
      <c r="S27" s="12"/>
      <c r="T27" s="12"/>
      <c r="U27" s="12"/>
      <c r="V27" s="9"/>
      <c r="W27" s="9"/>
      <c r="X27" s="12"/>
      <c r="Y27" s="12"/>
      <c r="Z27" s="3"/>
      <c r="AA27" s="3"/>
      <c r="AB27" s="3"/>
      <c r="AC27" s="9"/>
      <c r="AD27" s="9"/>
      <c r="AE27" s="3"/>
      <c r="AF27" s="3"/>
      <c r="AG27" s="3">
        <f t="shared" si="0"/>
        <v>0</v>
      </c>
    </row>
    <row r="28" spans="1:34" ht="19.5" x14ac:dyDescent="0.3">
      <c r="A28" s="41"/>
      <c r="B28" s="41"/>
      <c r="C28" s="6"/>
      <c r="D28" s="3"/>
      <c r="E28" s="3"/>
      <c r="F28" s="3"/>
      <c r="G28" s="3"/>
      <c r="H28" s="9"/>
      <c r="I28" s="9"/>
      <c r="J28" s="3"/>
      <c r="K28" s="3"/>
      <c r="L28" s="3"/>
      <c r="M28" s="12"/>
      <c r="N28" s="12"/>
      <c r="O28" s="9"/>
      <c r="P28" s="9"/>
      <c r="Q28" s="12"/>
      <c r="R28" s="12"/>
      <c r="S28" s="12"/>
      <c r="T28" s="12"/>
      <c r="U28" s="12"/>
      <c r="V28" s="9"/>
      <c r="W28" s="9"/>
      <c r="X28" s="12"/>
      <c r="Y28" s="12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41"/>
      <c r="B29" s="41"/>
      <c r="C29" s="6"/>
      <c r="D29" s="3"/>
      <c r="E29" s="3"/>
      <c r="F29" s="3"/>
      <c r="G29" s="3"/>
      <c r="H29" s="9"/>
      <c r="I29" s="9"/>
      <c r="J29" s="3"/>
      <c r="K29" s="3"/>
      <c r="L29" s="3"/>
      <c r="M29" s="12"/>
      <c r="N29" s="12"/>
      <c r="O29" s="9"/>
      <c r="P29" s="9"/>
      <c r="Q29" s="12"/>
      <c r="R29" s="12"/>
      <c r="S29" s="12"/>
      <c r="T29" s="12"/>
      <c r="U29" s="12"/>
      <c r="V29" s="9"/>
      <c r="W29" s="9"/>
      <c r="X29" s="12"/>
      <c r="Y29" s="12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41" t="s">
        <v>46</v>
      </c>
      <c r="B30" s="41"/>
      <c r="C30" s="6"/>
      <c r="D30" s="3"/>
      <c r="E30" s="3"/>
      <c r="F30" s="3"/>
      <c r="G30" s="3"/>
      <c r="H30" s="9"/>
      <c r="I30" s="9"/>
      <c r="J30" s="3"/>
      <c r="K30" s="3"/>
      <c r="L30" s="3"/>
      <c r="M30" s="12"/>
      <c r="N30" s="12"/>
      <c r="O30" s="9"/>
      <c r="P30" s="9"/>
      <c r="Q30" s="12"/>
      <c r="R30" s="12"/>
      <c r="S30" s="12"/>
      <c r="T30" s="12"/>
      <c r="U30" s="12"/>
      <c r="V30" s="9"/>
      <c r="W30" s="9"/>
      <c r="X30" s="12"/>
      <c r="Y30" s="12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41" t="s">
        <v>47</v>
      </c>
      <c r="B31" s="41"/>
      <c r="C31" s="6"/>
      <c r="D31" s="3"/>
      <c r="E31" s="3"/>
      <c r="F31" s="3"/>
      <c r="G31" s="3"/>
      <c r="H31" s="9"/>
      <c r="I31" s="9"/>
      <c r="J31" s="3"/>
      <c r="K31" s="3"/>
      <c r="L31" s="3"/>
      <c r="M31" s="12"/>
      <c r="N31" s="12"/>
      <c r="O31" s="9"/>
      <c r="P31" s="9"/>
      <c r="Q31" s="12"/>
      <c r="R31" s="12"/>
      <c r="S31" s="12"/>
      <c r="T31" s="12"/>
      <c r="U31" s="12"/>
      <c r="V31" s="9"/>
      <c r="W31" s="9"/>
      <c r="X31" s="12"/>
      <c r="Y31" s="12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41" t="s">
        <v>48</v>
      </c>
      <c r="B32" s="41"/>
      <c r="C32" s="6"/>
      <c r="D32" s="3"/>
      <c r="E32" s="3"/>
      <c r="F32" s="3"/>
      <c r="G32" s="3"/>
      <c r="H32" s="9"/>
      <c r="I32" s="9"/>
      <c r="J32" s="3"/>
      <c r="K32" s="3"/>
      <c r="L32" s="3"/>
      <c r="M32" s="12"/>
      <c r="N32" s="12"/>
      <c r="O32" s="9"/>
      <c r="P32" s="9"/>
      <c r="Q32" s="12"/>
      <c r="R32" s="12"/>
      <c r="S32" s="12"/>
      <c r="T32" s="12"/>
      <c r="U32" s="12"/>
      <c r="V32" s="9"/>
      <c r="W32" s="9"/>
      <c r="X32" s="12"/>
      <c r="Y32" s="12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13"/>
      <c r="N33" s="13"/>
      <c r="O33" s="10"/>
      <c r="P33" s="10"/>
      <c r="Q33" s="13"/>
      <c r="R33" s="13"/>
      <c r="S33" s="13"/>
      <c r="T33" s="13"/>
      <c r="U33" s="13"/>
      <c r="V33" s="10"/>
      <c r="W33" s="10"/>
      <c r="X33" s="13"/>
      <c r="Y33" s="13"/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90</v>
      </c>
    </row>
    <row r="34" spans="1:33" ht="19.5" x14ac:dyDescent="0.3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2">
        <f>SUM(AG30:AG33)</f>
        <v>90</v>
      </c>
    </row>
    <row r="37" spans="1:33" x14ac:dyDescent="0.25">
      <c r="A37" s="35" t="s">
        <v>51</v>
      </c>
      <c r="B37" s="35" t="s">
        <v>52</v>
      </c>
      <c r="W37" s="43" t="s">
        <v>54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3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3" ht="19.5" x14ac:dyDescent="0.25">
      <c r="A39" s="36"/>
      <c r="B39" s="17" t="s">
        <v>53</v>
      </c>
      <c r="W39" s="49"/>
      <c r="X39" s="50"/>
      <c r="Y39" s="50"/>
      <c r="Z39" s="50"/>
      <c r="AA39" s="51"/>
      <c r="AB39" s="52" t="s">
        <v>53</v>
      </c>
      <c r="AC39" s="50"/>
      <c r="AD39" s="50"/>
      <c r="AE39" s="51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2024-06-12T10:16:35Z</dcterms:created>
  <dcterms:modified xsi:type="dcterms:W3CDTF">2024-06-12T10:38:55Z</dcterms:modified>
  <cp:category/>
</cp:coreProperties>
</file>