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5897B242-F5C2-41CF-8E3E-7133A082C3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G26" i="1" s="1"/>
  <c r="AG33" i="1" s="1"/>
  <c r="AF25" i="1"/>
  <c r="AE25" i="1"/>
  <c r="AE26" i="1" s="1"/>
  <c r="AE33" i="1" s="1"/>
  <c r="AB25" i="1"/>
  <c r="AB26" i="1" s="1"/>
  <c r="AB33" i="1" s="1"/>
  <c r="AA25" i="1"/>
  <c r="Z25" i="1"/>
  <c r="Z26" i="1" s="1"/>
  <c r="Y25" i="1"/>
  <c r="Y26" i="1" s="1"/>
  <c r="X25" i="1"/>
  <c r="X26" i="1" s="1"/>
  <c r="U25" i="1"/>
  <c r="U26" i="1" s="1"/>
  <c r="T25" i="1"/>
  <c r="T26" i="1" s="1"/>
  <c r="S25" i="1"/>
  <c r="R25" i="1"/>
  <c r="Q25" i="1"/>
  <c r="Q26" i="1" s="1"/>
  <c r="Q33" i="1" s="1"/>
  <c r="N25" i="1"/>
  <c r="M25" i="1"/>
  <c r="M26" i="1" s="1"/>
  <c r="M33" i="1" s="1"/>
  <c r="L25" i="1"/>
  <c r="L26" i="1" s="1"/>
  <c r="L33" i="1" s="1"/>
  <c r="K25" i="1"/>
  <c r="J25" i="1"/>
  <c r="J26" i="1" s="1"/>
  <c r="G25" i="1"/>
  <c r="G26" i="1" s="1"/>
  <c r="F25" i="1"/>
  <c r="F26" i="1" s="1"/>
  <c r="E25" i="1"/>
  <c r="E26" i="1" s="1"/>
  <c r="D25" i="1"/>
  <c r="AH24" i="1"/>
  <c r="AH23" i="1"/>
  <c r="AH25" i="1" l="1"/>
  <c r="P16" i="1"/>
  <c r="X16" i="1" s="1"/>
  <c r="T33" i="1"/>
  <c r="E33" i="1"/>
  <c r="U33" i="1"/>
  <c r="D26" i="1"/>
  <c r="D33" i="1" s="1"/>
  <c r="F33" i="1"/>
  <c r="X33" i="1"/>
  <c r="AA26" i="1"/>
  <c r="AA33" i="1" s="1"/>
  <c r="N26" i="1"/>
  <c r="N33" i="1" s="1"/>
  <c r="AF26" i="1"/>
  <c r="AF33" i="1" s="1"/>
  <c r="G33" i="1"/>
  <c r="Y33" i="1"/>
  <c r="K26" i="1"/>
  <c r="K33" i="1" s="1"/>
  <c r="J33" i="1"/>
  <c r="Z33" i="1"/>
  <c r="R26" i="1"/>
  <c r="R33" i="1" s="1"/>
  <c r="S26" i="1"/>
  <c r="S33" i="1" s="1"/>
  <c r="AH26" i="1" l="1"/>
  <c r="AH33" i="1" s="1"/>
  <c r="H16" i="1" s="1"/>
  <c r="AH34" i="1" l="1"/>
  <c r="AI25" i="1" s="1"/>
  <c r="AI24" i="1" l="1"/>
  <c r="AI23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<sst xmlns="http://schemas.openxmlformats.org/spreadsheetml/2006/main" count="81" uniqueCount="55">
  <si>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</si>
  <si>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</si>
  <si>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</si>
  <si>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</si>
  <si>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</si>
  <si>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</si>
  <si>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</si>
  <si>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</si>
  <si>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</si>
  <si>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</si>
  <si>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</si>
  <si>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</si>
  <si>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</si>
  <si>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</si>
  <si>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</si>
  <si>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</si>
  <si>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</si>
  <si>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</si>
  <si>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</si>
  <si>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</si>
  <si>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</si>
  <si>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</si>
  <si>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</si>
  <si>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</si>
  <si>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</si>
  <si>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</si>
  <si>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</si>
  <si>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</si>
  <si>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</si>
  <si>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</si>
  <si>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</si>
  <si>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</si>
  <si>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</si>
  <si>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</si>
  <si>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</si>
  <si>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</si>
  <si>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</si>
  <si>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</si>
  <si>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</si>
  <si>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</si>
  <si>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</si>
  <si>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30% Estimated:49.5 h</t>
  </si>
  <si>
    <t>PE124600 ISOLDE - WP3 Accelerators and Extensions</t>
  </si>
  <si>
    <t>Dedicacion: 70% Estimated:115.5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</si>
  <si>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</si>
  <si>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</si>
  <si>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</si>
  <si>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</si>
  <si>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</si>
  <si>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</si>
  <si>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</si>
  <si>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</si>
  <si>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</si>
  <si>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>2024-02-05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</si>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</sst>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topLeftCell="A6" workbookViewId="0">
      <selection activeCell="D24" sqref="D24: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165</v>
      </c>
      <c r="I16" s="25"/>
      <c r="K16" s="24" t="s">
        <v>18</v>
      </c>
      <c r="L16" s="16"/>
      <c r="M16" s="16"/>
      <c r="N16" s="16"/>
      <c r="O16" s="16"/>
      <c r="P16" s="26">
        <f>AH25</f>
        <v>165</v>
      </c>
      <c r="Q16" s="26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7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7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1.5</v>
      </c>
      <c r="E23" s="3">
        <v>1.5</v>
      </c>
      <c r="F23" s="3">
        <v>4.5</v>
      </c>
      <c r="G23" s="3">
        <v>4</v>
      </c>
      <c r="H23" s="6"/>
      <c r="I23" s="9"/>
      <c r="J23" s="3">
        <v>1.5</v>
      </c>
      <c r="K23" s="3">
        <v>2</v>
      </c>
      <c r="L23" s="3">
        <v>1.5</v>
      </c>
      <c r="M23" s="3">
        <v>4.5</v>
      </c>
      <c r="N23" s="3">
        <v>2</v>
      </c>
      <c r="O23" s="9"/>
      <c r="P23" s="9"/>
      <c r="Q23" s="3">
        <v>1.5</v>
      </c>
      <c r="R23" s="3">
        <v>1.5</v>
      </c>
      <c r="S23" s="3">
        <v>1.5</v>
      </c>
      <c r="T23" s="3">
        <v>4.5</v>
      </c>
      <c r="U23" s="3">
        <v>2</v>
      </c>
      <c r="V23" s="9"/>
      <c r="W23" s="9"/>
      <c r="X23" s="3">
        <v>1.5</v>
      </c>
      <c r="Y23" s="3">
        <v>1.5</v>
      </c>
      <c r="Z23" s="3">
        <v>1.5</v>
      </c>
      <c r="AA23" s="3">
        <v>4.5</v>
      </c>
      <c r="AB23" s="3">
        <v>2</v>
      </c>
      <c r="AC23" s="9"/>
      <c r="AD23" s="9"/>
      <c r="AE23" s="3">
        <v>1.5</v>
      </c>
      <c r="AF23" s="3">
        <v>1.5</v>
      </c>
      <c r="AG23" s="3">
        <v>1.5</v>
      </c>
      <c r="AH23" s="3">
        <f>SUM(C23:AG23)</f>
        <v>49.5</v>
      </c>
      <c r="AI23" s="13">
        <f>AH23/$AH$34</f>
        <v>0.3</v>
      </c>
    </row>
    <row r="24" spans="1:35" ht="19.5" x14ac:dyDescent="0.3">
      <c r="A24" s="12" t="s">
        <v>42</v>
      </c>
      <c r="B24" s="12" t="s">
        <v>43</v>
      </c>
      <c r="C24" s="6"/>
      <c r="D24" s="3">
        <v>6</v>
      </c>
      <c r="E24" s="3">
        <v>6</v>
      </c>
      <c r="F24" s="3">
        <v>3</v>
      </c>
      <c r="G24" s="3">
        <v>3.5</v>
      </c>
      <c r="H24" s="6"/>
      <c r="I24" s="9"/>
      <c r="J24" s="3">
        <v>6</v>
      </c>
      <c r="K24" s="3">
        <v>5.5</v>
      </c>
      <c r="L24" s="3">
        <v>6</v>
      </c>
      <c r="M24" s="3">
        <v>3</v>
      </c>
      <c r="N24" s="3">
        <v>5.5</v>
      </c>
      <c r="O24" s="9"/>
      <c r="P24" s="9"/>
      <c r="Q24" s="3">
        <v>6</v>
      </c>
      <c r="R24" s="3">
        <v>6</v>
      </c>
      <c r="S24" s="3">
        <v>6</v>
      </c>
      <c r="T24" s="3">
        <v>3</v>
      </c>
      <c r="U24" s="3">
        <v>5.5</v>
      </c>
      <c r="V24" s="9"/>
      <c r="W24" s="9"/>
      <c r="X24" s="3">
        <v>6</v>
      </c>
      <c r="Y24" s="3">
        <v>6</v>
      </c>
      <c r="Z24" s="3">
        <v>6</v>
      </c>
      <c r="AA24" s="3">
        <v>3</v>
      </c>
      <c r="AB24" s="3">
        <v>5.5</v>
      </c>
      <c r="AC24" s="9"/>
      <c r="AD24" s="9"/>
      <c r="AE24" s="3">
        <v>6</v>
      </c>
      <c r="AF24" s="3">
        <v>6</v>
      </c>
      <c r="AG24" s="3">
        <v>6</v>
      </c>
      <c r="AH24" s="3">
        <f>SUM(C24:AG24)</f>
        <v>115.5</v>
      </c>
      <c r="AI24" s="13">
        <f>AH24/$AH$34</f>
        <v>0.7</v>
      </c>
    </row>
    <row r="25" spans="1:35" ht="19.5" x14ac:dyDescent="0.3">
      <c r="A25" s="35" t="s">
        <v>44</v>
      </c>
      <c r="B25" s="36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0"/>
      <c r="P25" s="10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165</v>
      </c>
      <c r="AI25" s="11">
        <f>AH25/$AH$34</f>
        <v>1</v>
      </c>
    </row>
    <row r="26" spans="1:35" ht="19.5" x14ac:dyDescent="0.3">
      <c r="A26" s="37" t="s">
        <v>45</v>
      </c>
      <c r="B26" s="37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9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9"/>
      <c r="P26" s="9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7"/>
      <c r="B27" s="37"/>
      <c r="C27" s="6"/>
      <c r="D27" s="3"/>
      <c r="E27" s="3"/>
      <c r="F27" s="3"/>
      <c r="G27" s="3"/>
      <c r="H27" s="6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3"/>
      <c r="E28" s="3"/>
      <c r="F28" s="3"/>
      <c r="G28" s="3"/>
      <c r="H28" s="6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37"/>
      <c r="B29" s="37"/>
      <c r="C29" s="6"/>
      <c r="D29" s="3"/>
      <c r="E29" s="3"/>
      <c r="F29" s="3"/>
      <c r="G29" s="3"/>
      <c r="H29" s="6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37" t="s">
        <v>46</v>
      </c>
      <c r="B30" s="37"/>
      <c r="C30" s="6"/>
      <c r="D30" s="3"/>
      <c r="E30" s="3"/>
      <c r="F30" s="3"/>
      <c r="G30" s="3"/>
      <c r="H30" s="6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37" t="s">
        <v>47</v>
      </c>
      <c r="B31" s="37"/>
      <c r="C31" s="6"/>
      <c r="D31" s="3"/>
      <c r="E31" s="3"/>
      <c r="F31" s="3"/>
      <c r="G31" s="3"/>
      <c r="H31" s="6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37" t="s">
        <v>48</v>
      </c>
      <c r="B32" s="37"/>
      <c r="C32" s="6"/>
      <c r="D32" s="3"/>
      <c r="E32" s="3"/>
      <c r="F32" s="3"/>
      <c r="G32" s="3"/>
      <c r="H32" s="6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49</v>
      </c>
      <c r="B33" s="12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0"/>
      <c r="P33" s="10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165</v>
      </c>
    </row>
    <row r="34" spans="1:34" ht="19.5" x14ac:dyDescent="0.3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165</v>
      </c>
    </row>
    <row r="37" spans="1:34" x14ac:dyDescent="0.25">
      <c r="A37" s="31" t="s">
        <v>51</v>
      </c>
      <c r="B37" s="31" t="s">
        <v>52</v>
      </c>
      <c r="W37" s="39" t="s">
        <v>54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53</v>
      </c>
      <c r="W39" s="45"/>
      <c r="X39" s="46"/>
      <c r="Y39" s="46"/>
      <c r="Z39" s="46"/>
      <c r="AA39" s="47"/>
      <c r="AB39" s="48" t="s">
        <v>53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2024-06-12T10:16:33Z</dcterms:created>
  <dcterms:modified xsi:type="dcterms:W3CDTF">2024-06-12T10:35:29Z</dcterms:modified>
  <cp:category/>
</cp:coreProperties>
</file>