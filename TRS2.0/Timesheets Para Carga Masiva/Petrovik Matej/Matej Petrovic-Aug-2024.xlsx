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chaquet\Downloads\"/>
    </mc:Choice>
  </mc:AlternateContent>
  <xr:revisionPtr revIDLastSave="0" documentId="13_ncr:1_{9FD6B665-621E-417E-B495-449CACAC6B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2" i="1" l="1"/>
  <c r="AH31" i="1"/>
  <c r="AH30" i="1"/>
  <c r="AH29" i="1"/>
  <c r="AH28" i="1"/>
  <c r="AH27" i="1"/>
  <c r="U25" i="1"/>
  <c r="R25" i="1"/>
  <c r="P25" i="1"/>
  <c r="O25" i="1"/>
  <c r="O26" i="1" s="1"/>
  <c r="N25" i="1"/>
  <c r="N26" i="1" s="1"/>
  <c r="K25" i="1"/>
  <c r="K26" i="1" s="1"/>
  <c r="K33" i="1" s="1"/>
  <c r="J25" i="1"/>
  <c r="J26" i="1" s="1"/>
  <c r="J33" i="1" s="1"/>
  <c r="I25" i="1"/>
  <c r="I26" i="1" s="1"/>
  <c r="I33" i="1" s="1"/>
  <c r="H25" i="1"/>
  <c r="H26" i="1" s="1"/>
  <c r="G25" i="1"/>
  <c r="G26" i="1" s="1"/>
  <c r="G33" i="1" s="1"/>
  <c r="D25" i="1"/>
  <c r="C25" i="1"/>
  <c r="AH24" i="1"/>
  <c r="AH23" i="1"/>
  <c r="C26" i="1" l="1"/>
  <c r="C33" i="1" s="1"/>
  <c r="P26" i="1"/>
  <c r="P33" i="1" s="1"/>
  <c r="AH25" i="1"/>
  <c r="R26" i="1"/>
  <c r="R33" i="1" s="1"/>
  <c r="H33" i="1"/>
  <c r="N33" i="1"/>
  <c r="D26" i="1"/>
  <c r="O33" i="1"/>
  <c r="U26" i="1"/>
  <c r="U33" i="1" s="1"/>
  <c r="AH26" i="1" l="1"/>
  <c r="AH33" i="1" s="1"/>
  <c r="P16" i="1"/>
  <c r="X16" i="1" s="1"/>
  <c r="D33" i="1"/>
  <c r="H16" i="1" l="1"/>
  <c r="AH34" i="1"/>
  <c r="AI23" i="1" l="1"/>
  <c r="AI24" i="1"/>
  <c r="AI25" i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<sst xmlns="http://schemas.openxmlformats.org/spreadsheetml/2006/main" count="79" uniqueCount="54">
  <si>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</si>
  <si>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</si>
  <si>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</si>
  <si>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</si>
  <si>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</si>
  <si>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</si>
  <si>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</si>
  <si>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</si>
  <si>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</si>
  <si>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Matej Petrovic</t>
  </si>
  <si>
    <t>Re1 (junior Research Engineer)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</si>
  <si>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</si>
  <si>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</si>
  <si>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</si>
  <si>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</si>
  <si>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</si>
  <si>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</si>
  <si>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</si>
  <si>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</si>
  <si>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</si>
  <si>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</si>
  <si>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</si>
  <si>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</si>
  <si>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</si>
  <si>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</si>
  <si>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</si>
  <si>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</si>
  <si>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</si>
  <si>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</si>
  <si>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</si>
  <si>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</si>
  <si>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</si>
  <si>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</si>
  <si>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</si>
  <si>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</si>
  <si>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</si>
  <si>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</si>
  <si>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</si>
  <si>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</si>
  <si>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</si>
  <si>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PE099600 EPI SGA2 - Str.1-WP04 Validation</t>
  </si>
  <si>
    <t>Dedicacion: 18% Estimated:28.42 h</t>
  </si>
  <si>
    <t>PE124600 ISOLDE - WP3 Accelerators and Extensions</t>
  </si>
  <si>
    <t>Dedicacion: 39% Estimated:61.58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</si>
  <si>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</si>
  <si>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</si>
  <si>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</si>
  <si>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</si>
  <si>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</si>
  <si>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</si>
  <si>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</si>
  <si>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</si>
  <si>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Francisco Javier Cazorla Almeida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</si>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</sst>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topLeftCell="A10" workbookViewId="0">
      <selection activeCell="C23" sqref="C23:U23"/>
    </sheetView>
  </sheetViews>
  <sheetFormatPr baseColWidth="10" defaultColWidth="8.88671875" defaultRowHeight="14.4" x14ac:dyDescent="0.3"/>
  <cols>
    <col min="1" max="2" width="40" customWidth="1"/>
  </cols>
  <sheetData>
    <row r="2" spans="1:34" ht="19.8" x14ac:dyDescent="0.4">
      <c r="C2" s="20" t="s">
        <v>1</v>
      </c>
      <c r="D2" s="20"/>
      <c r="E2" s="20"/>
    </row>
    <row r="4" spans="1:34" ht="19.8" x14ac:dyDescent="0.4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5.8" x14ac:dyDescent="0.5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8" x14ac:dyDescent="0.4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8" x14ac:dyDescent="0.4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8" x14ac:dyDescent="0.4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8" x14ac:dyDescent="0.4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8" x14ac:dyDescent="0.4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8" x14ac:dyDescent="0.4">
      <c r="F16" s="27" t="s">
        <v>17</v>
      </c>
      <c r="G16" s="19"/>
      <c r="H16" s="28">
        <f>AH33</f>
        <v>90</v>
      </c>
      <c r="I16" s="28"/>
      <c r="K16" s="27" t="s">
        <v>18</v>
      </c>
      <c r="L16" s="19"/>
      <c r="M16" s="19"/>
      <c r="N16" s="19"/>
      <c r="O16" s="19"/>
      <c r="P16" s="29">
        <f>AH25</f>
        <v>90</v>
      </c>
      <c r="Q16" s="29"/>
      <c r="S16" s="27" t="s">
        <v>19</v>
      </c>
      <c r="T16" s="19"/>
      <c r="U16" s="19"/>
      <c r="V16" s="19"/>
      <c r="W16" s="19"/>
      <c r="X16" s="28">
        <f>(P16/7.5) *1</f>
        <v>12</v>
      </c>
      <c r="Y16" s="28"/>
    </row>
    <row r="19" spans="1:35" ht="19.8" x14ac:dyDescent="0.4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8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11" t="s">
        <v>30</v>
      </c>
      <c r="W19" s="11" t="s">
        <v>32</v>
      </c>
      <c r="X19" s="11" t="s">
        <v>20</v>
      </c>
      <c r="Y19" s="11" t="s">
        <v>22</v>
      </c>
      <c r="Z19" s="11" t="s">
        <v>24</v>
      </c>
      <c r="AA19" s="11" t="s">
        <v>26</v>
      </c>
      <c r="AB19" s="11" t="s">
        <v>28</v>
      </c>
      <c r="AC19" s="11" t="s">
        <v>30</v>
      </c>
      <c r="AD19" s="11" t="s">
        <v>32</v>
      </c>
      <c r="AE19" s="11" t="s">
        <v>20</v>
      </c>
      <c r="AF19" s="11" t="s">
        <v>22</v>
      </c>
      <c r="AG19" s="11" t="s">
        <v>24</v>
      </c>
      <c r="AH19" s="34" t="s">
        <v>36</v>
      </c>
      <c r="AI19" s="35" t="s">
        <v>37</v>
      </c>
    </row>
    <row r="20" spans="1:35" ht="19.8" x14ac:dyDescent="0.4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8">
        <v>15</v>
      </c>
      <c r="R20" s="2">
        <v>16</v>
      </c>
      <c r="S20" s="5">
        <v>17</v>
      </c>
      <c r="T20" s="5">
        <v>18</v>
      </c>
      <c r="U20" s="2">
        <v>19</v>
      </c>
      <c r="V20" s="11">
        <v>20</v>
      </c>
      <c r="W20" s="11">
        <v>21</v>
      </c>
      <c r="X20" s="11">
        <v>22</v>
      </c>
      <c r="Y20" s="11">
        <v>23</v>
      </c>
      <c r="Z20" s="11">
        <v>24</v>
      </c>
      <c r="AA20" s="11">
        <v>25</v>
      </c>
      <c r="AB20" s="11">
        <v>26</v>
      </c>
      <c r="AC20" s="11">
        <v>27</v>
      </c>
      <c r="AD20" s="11">
        <v>28</v>
      </c>
      <c r="AE20" s="11">
        <v>29</v>
      </c>
      <c r="AF20" s="11">
        <v>30</v>
      </c>
      <c r="AG20" s="11">
        <v>31</v>
      </c>
      <c r="AH20" s="34"/>
      <c r="AI20" s="36"/>
    </row>
    <row r="21" spans="1:35" ht="19.8" x14ac:dyDescent="0.4">
      <c r="A21" s="20" t="s">
        <v>38</v>
      </c>
      <c r="B21" s="20"/>
      <c r="C21" s="30"/>
      <c r="D21" s="30"/>
      <c r="E21" s="31"/>
      <c r="F21" s="31"/>
      <c r="G21" s="30"/>
      <c r="H21" s="30"/>
      <c r="I21" s="30"/>
      <c r="J21" s="30"/>
      <c r="K21" s="30"/>
      <c r="L21" s="31"/>
      <c r="M21" s="31"/>
      <c r="N21" s="30"/>
      <c r="O21" s="30"/>
      <c r="P21" s="30"/>
      <c r="Q21" s="32"/>
      <c r="R21" s="30"/>
      <c r="S21" s="31"/>
      <c r="T21" s="31"/>
      <c r="U21" s="30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0"/>
      <c r="AI21" s="37"/>
    </row>
    <row r="22" spans="1:35" ht="19.8" x14ac:dyDescent="0.4">
      <c r="A22" s="38" t="s">
        <v>39</v>
      </c>
      <c r="B22" s="38"/>
      <c r="C22" s="30"/>
      <c r="D22" s="30"/>
      <c r="E22" s="31"/>
      <c r="F22" s="31"/>
      <c r="G22" s="30"/>
      <c r="H22" s="30"/>
      <c r="I22" s="30"/>
      <c r="J22" s="30"/>
      <c r="K22" s="30"/>
      <c r="L22" s="31"/>
      <c r="M22" s="31"/>
      <c r="N22" s="30"/>
      <c r="O22" s="30"/>
      <c r="P22" s="30"/>
      <c r="Q22" s="32"/>
      <c r="R22" s="30"/>
      <c r="S22" s="31"/>
      <c r="T22" s="31"/>
      <c r="U22" s="30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0"/>
      <c r="AI22" s="37"/>
    </row>
    <row r="23" spans="1:35" ht="19.8" x14ac:dyDescent="0.4">
      <c r="A23" s="15" t="s">
        <v>40</v>
      </c>
      <c r="B23" s="15" t="s">
        <v>41</v>
      </c>
      <c r="C23" s="3">
        <v>1.5</v>
      </c>
      <c r="D23" s="3">
        <v>2</v>
      </c>
      <c r="E23" s="6"/>
      <c r="F23" s="6"/>
      <c r="G23" s="3">
        <v>1.5</v>
      </c>
      <c r="H23" s="3">
        <v>2</v>
      </c>
      <c r="I23" s="3">
        <v>3</v>
      </c>
      <c r="J23" s="3">
        <v>1.5</v>
      </c>
      <c r="K23" s="3">
        <v>4.5</v>
      </c>
      <c r="L23" s="6"/>
      <c r="M23" s="6"/>
      <c r="N23" s="3">
        <v>1.5</v>
      </c>
      <c r="O23" s="3">
        <v>2</v>
      </c>
      <c r="P23" s="3">
        <v>3</v>
      </c>
      <c r="Q23" s="9"/>
      <c r="R23" s="3">
        <v>3</v>
      </c>
      <c r="S23" s="6"/>
      <c r="T23" s="6"/>
      <c r="U23" s="3">
        <v>3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3">
        <f>SUM(C23:AG23)</f>
        <v>28.5</v>
      </c>
      <c r="AI23" s="16">
        <f>AH23/$AH$34*0.57</f>
        <v>0.18049999999999997</v>
      </c>
    </row>
    <row r="24" spans="1:35" ht="19.8" x14ac:dyDescent="0.4">
      <c r="A24" s="15" t="s">
        <v>42</v>
      </c>
      <c r="B24" s="15" t="s">
        <v>43</v>
      </c>
      <c r="C24" s="3">
        <v>6</v>
      </c>
      <c r="D24" s="3">
        <v>5.5</v>
      </c>
      <c r="E24" s="6"/>
      <c r="F24" s="6"/>
      <c r="G24" s="3">
        <v>6</v>
      </c>
      <c r="H24" s="3">
        <v>5.5</v>
      </c>
      <c r="I24" s="3">
        <v>4.5</v>
      </c>
      <c r="J24" s="3">
        <v>6</v>
      </c>
      <c r="K24" s="3">
        <v>3</v>
      </c>
      <c r="L24" s="6"/>
      <c r="M24" s="6"/>
      <c r="N24" s="3">
        <v>6</v>
      </c>
      <c r="O24" s="3">
        <v>5.5</v>
      </c>
      <c r="P24" s="3">
        <v>4.5</v>
      </c>
      <c r="Q24" s="9"/>
      <c r="R24" s="3">
        <v>4.5</v>
      </c>
      <c r="S24" s="6"/>
      <c r="T24" s="6"/>
      <c r="U24" s="3">
        <v>4.5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3">
        <f>SUM(C24:AG24)</f>
        <v>61.5</v>
      </c>
      <c r="AI24" s="16">
        <f>AH24/$AH$34*0.57</f>
        <v>0.38949999999999996</v>
      </c>
    </row>
    <row r="25" spans="1:35" ht="19.8" x14ac:dyDescent="0.4">
      <c r="A25" s="39" t="s">
        <v>44</v>
      </c>
      <c r="B25" s="40"/>
      <c r="C25" s="4">
        <f>SUM(C23:C24)</f>
        <v>7.5</v>
      </c>
      <c r="D25" s="4">
        <f>SUM(D23:D24)</f>
        <v>7.5</v>
      </c>
      <c r="E25" s="7"/>
      <c r="F25" s="7"/>
      <c r="G25" s="4">
        <f>SUM(G23:G24)</f>
        <v>7.5</v>
      </c>
      <c r="H25" s="4">
        <f>SUM(H23:H24)</f>
        <v>7.5</v>
      </c>
      <c r="I25" s="4">
        <f>SUM(I23:I24)</f>
        <v>7.5</v>
      </c>
      <c r="J25" s="4">
        <f>SUM(J23:J24)</f>
        <v>7.5</v>
      </c>
      <c r="K25" s="4">
        <f>SUM(K23:K24)</f>
        <v>7.5</v>
      </c>
      <c r="L25" s="7"/>
      <c r="M25" s="7"/>
      <c r="N25" s="4">
        <f>SUM(N23:N24)</f>
        <v>7.5</v>
      </c>
      <c r="O25" s="4">
        <f>SUM(O23:O24)</f>
        <v>7.5</v>
      </c>
      <c r="P25" s="4">
        <f>SUM(P23:P24)</f>
        <v>7.5</v>
      </c>
      <c r="Q25" s="10"/>
      <c r="R25" s="4">
        <f>SUM(R23:R24)</f>
        <v>7.5</v>
      </c>
      <c r="S25" s="7"/>
      <c r="T25" s="7"/>
      <c r="U25" s="4">
        <f>SUM(U23:U24)</f>
        <v>7.5</v>
      </c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4">
        <f>SUM(AH23:AH24)</f>
        <v>90</v>
      </c>
      <c r="AI25" s="14">
        <f>AH25/$AH$34</f>
        <v>1</v>
      </c>
    </row>
    <row r="26" spans="1:35" ht="19.8" x14ac:dyDescent="0.4">
      <c r="A26" s="41" t="s">
        <v>45</v>
      </c>
      <c r="B26" s="41"/>
      <c r="C26" s="3">
        <f>7.5-C25</f>
        <v>0</v>
      </c>
      <c r="D26" s="3">
        <f>7.5-D25</f>
        <v>0</v>
      </c>
      <c r="E26" s="6"/>
      <c r="F26" s="6"/>
      <c r="G26" s="3">
        <f>7.5-G25</f>
        <v>0</v>
      </c>
      <c r="H26" s="3">
        <f>7.5-H25</f>
        <v>0</v>
      </c>
      <c r="I26" s="3">
        <f>7.5-I25</f>
        <v>0</v>
      </c>
      <c r="J26" s="3">
        <f>7.5-J25</f>
        <v>0</v>
      </c>
      <c r="K26" s="3">
        <f>7.5-K25</f>
        <v>0</v>
      </c>
      <c r="L26" s="6"/>
      <c r="M26" s="6"/>
      <c r="N26" s="3">
        <f>7.5-N25</f>
        <v>0</v>
      </c>
      <c r="O26" s="3">
        <f>7.5-O25</f>
        <v>0</v>
      </c>
      <c r="P26" s="3">
        <f>7.5-P25</f>
        <v>0</v>
      </c>
      <c r="Q26" s="9"/>
      <c r="R26" s="3">
        <f>7.5-R25</f>
        <v>0</v>
      </c>
      <c r="S26" s="6"/>
      <c r="T26" s="6"/>
      <c r="U26" s="3">
        <f>7.5-U25</f>
        <v>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3">
        <f t="shared" ref="AH26:AH32" si="0">SUM(C26:AG26)</f>
        <v>0</v>
      </c>
    </row>
    <row r="27" spans="1:35" ht="19.8" x14ac:dyDescent="0.4">
      <c r="A27" s="41"/>
      <c r="B27" s="41"/>
      <c r="C27" s="3"/>
      <c r="D27" s="3"/>
      <c r="E27" s="6"/>
      <c r="F27" s="6"/>
      <c r="G27" s="3"/>
      <c r="H27" s="3"/>
      <c r="I27" s="3"/>
      <c r="J27" s="3"/>
      <c r="K27" s="3"/>
      <c r="L27" s="6"/>
      <c r="M27" s="6"/>
      <c r="N27" s="3"/>
      <c r="O27" s="3"/>
      <c r="P27" s="3"/>
      <c r="Q27" s="9"/>
      <c r="R27" s="3"/>
      <c r="S27" s="6"/>
      <c r="T27" s="6"/>
      <c r="U27" s="3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3">
        <f t="shared" si="0"/>
        <v>0</v>
      </c>
    </row>
    <row r="28" spans="1:35" ht="19.8" x14ac:dyDescent="0.4">
      <c r="A28" s="41"/>
      <c r="B28" s="41"/>
      <c r="C28" s="3"/>
      <c r="D28" s="3"/>
      <c r="E28" s="6"/>
      <c r="F28" s="6"/>
      <c r="G28" s="3"/>
      <c r="H28" s="3"/>
      <c r="I28" s="3"/>
      <c r="J28" s="3"/>
      <c r="K28" s="3"/>
      <c r="L28" s="6"/>
      <c r="M28" s="6"/>
      <c r="N28" s="3"/>
      <c r="O28" s="3"/>
      <c r="P28" s="3"/>
      <c r="Q28" s="9"/>
      <c r="R28" s="3"/>
      <c r="S28" s="6"/>
      <c r="T28" s="6"/>
      <c r="U28" s="3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3">
        <f t="shared" si="0"/>
        <v>0</v>
      </c>
    </row>
    <row r="29" spans="1:35" ht="19.8" x14ac:dyDescent="0.4">
      <c r="A29" s="41"/>
      <c r="B29" s="41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9"/>
      <c r="R29" s="3"/>
      <c r="S29" s="6"/>
      <c r="T29" s="6"/>
      <c r="U29" s="3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3">
        <f t="shared" si="0"/>
        <v>0</v>
      </c>
    </row>
    <row r="30" spans="1:35" ht="19.8" x14ac:dyDescent="0.4">
      <c r="A30" s="41" t="s">
        <v>46</v>
      </c>
      <c r="B30" s="41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9"/>
      <c r="R30" s="3"/>
      <c r="S30" s="6"/>
      <c r="T30" s="6"/>
      <c r="U30" s="3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3">
        <f t="shared" si="0"/>
        <v>0</v>
      </c>
    </row>
    <row r="31" spans="1:35" ht="19.8" x14ac:dyDescent="0.4">
      <c r="A31" s="41" t="s">
        <v>47</v>
      </c>
      <c r="B31" s="41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9"/>
      <c r="R31" s="3"/>
      <c r="S31" s="6"/>
      <c r="T31" s="6"/>
      <c r="U31" s="3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3">
        <f t="shared" si="0"/>
        <v>0</v>
      </c>
    </row>
    <row r="32" spans="1:35" ht="19.8" x14ac:dyDescent="0.4">
      <c r="A32" s="41" t="s">
        <v>48</v>
      </c>
      <c r="B32" s="41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3"/>
      <c r="O32" s="3"/>
      <c r="P32" s="3"/>
      <c r="Q32" s="9"/>
      <c r="R32" s="3"/>
      <c r="S32" s="6"/>
      <c r="T32" s="6"/>
      <c r="U32" s="3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3">
        <f t="shared" si="0"/>
        <v>0</v>
      </c>
    </row>
    <row r="33" spans="1:34" ht="19.8" x14ac:dyDescent="0.4">
      <c r="A33" s="15" t="s">
        <v>49</v>
      </c>
      <c r="B33" s="15"/>
      <c r="C33" s="4">
        <f>SUM(C25:C29)</f>
        <v>7.5</v>
      </c>
      <c r="D33" s="4">
        <f>SUM(D25:D29)</f>
        <v>7.5</v>
      </c>
      <c r="E33" s="7"/>
      <c r="F33" s="7"/>
      <c r="G33" s="4">
        <f>SUM(G25:G29)</f>
        <v>7.5</v>
      </c>
      <c r="H33" s="4">
        <f>SUM(H25:H29)</f>
        <v>7.5</v>
      </c>
      <c r="I33" s="4">
        <f>SUM(I25:I29)</f>
        <v>7.5</v>
      </c>
      <c r="J33" s="4">
        <f>SUM(J25:J29)</f>
        <v>7.5</v>
      </c>
      <c r="K33" s="4">
        <f>SUM(K25:K29)</f>
        <v>7.5</v>
      </c>
      <c r="L33" s="7"/>
      <c r="M33" s="7"/>
      <c r="N33" s="4">
        <f>SUM(N25:N29)</f>
        <v>7.5</v>
      </c>
      <c r="O33" s="4">
        <f>SUM(O25:O29)</f>
        <v>7.5</v>
      </c>
      <c r="P33" s="4">
        <f>SUM(P25:P29)</f>
        <v>7.5</v>
      </c>
      <c r="Q33" s="10"/>
      <c r="R33" s="4">
        <f>SUM(R25:R29)</f>
        <v>7.5</v>
      </c>
      <c r="S33" s="7"/>
      <c r="T33" s="7"/>
      <c r="U33" s="4">
        <f>SUM(U25:U29)</f>
        <v>7.5</v>
      </c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4">
        <f>SUM(AH25:AH29)</f>
        <v>90</v>
      </c>
    </row>
    <row r="34" spans="1:34" ht="19.8" x14ac:dyDescent="0.4">
      <c r="A34" s="15" t="s">
        <v>50</v>
      </c>
      <c r="B34" s="15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2">
        <f>SUM(AH30:AH33)</f>
        <v>90</v>
      </c>
    </row>
    <row r="37" spans="1:34" x14ac:dyDescent="0.3">
      <c r="A37" s="35" t="s">
        <v>51</v>
      </c>
      <c r="B37" s="35" t="s">
        <v>52</v>
      </c>
      <c r="W37" s="43" t="s">
        <v>53</v>
      </c>
      <c r="X37" s="44"/>
      <c r="Y37" s="44"/>
      <c r="Z37" s="44"/>
      <c r="AA37" s="45"/>
      <c r="AB37" s="43" t="s">
        <v>9</v>
      </c>
      <c r="AC37" s="44"/>
      <c r="AD37" s="44"/>
      <c r="AE37" s="45"/>
    </row>
    <row r="38" spans="1:34" x14ac:dyDescent="0.3">
      <c r="A38" s="42"/>
      <c r="B38" s="42"/>
      <c r="W38" s="46"/>
      <c r="X38" s="47"/>
      <c r="Y38" s="47"/>
      <c r="Z38" s="47"/>
      <c r="AA38" s="48"/>
      <c r="AB38" s="46"/>
      <c r="AC38" s="47"/>
      <c r="AD38" s="47"/>
      <c r="AE38" s="48"/>
    </row>
    <row r="39" spans="1:34" ht="19.8" x14ac:dyDescent="0.3">
      <c r="A39" s="36"/>
      <c r="B39" s="17">
        <v>45554</v>
      </c>
      <c r="W39" s="49"/>
      <c r="X39" s="50"/>
      <c r="Y39" s="50"/>
      <c r="Z39" s="50"/>
      <c r="AA39" s="51"/>
      <c r="AB39" s="52">
        <v>45523</v>
      </c>
      <c r="AC39" s="50"/>
      <c r="AD39" s="50"/>
      <c r="AE39" s="51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2024-08-12T12:35:35Z</dcterms:created>
  <dcterms:modified xsi:type="dcterms:W3CDTF">2024-08-12T12:38:35Z</dcterms:modified>
  <cp:category/>
</cp:coreProperties>
</file>